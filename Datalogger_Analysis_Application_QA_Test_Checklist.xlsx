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Installation &amp; Deployment" sheetId="2" state="visible" r:id="rId2"/>
    <sheet xmlns:r="http://schemas.openxmlformats.org/officeDocument/2006/relationships" name="Authentication &amp; Authorization" sheetId="3" state="visible" r:id="rId3"/>
    <sheet xmlns:r="http://schemas.openxmlformats.org/officeDocument/2006/relationships" name="Device &amp; Communication" sheetId="4" state="visible" r:id="rId4"/>
    <sheet xmlns:r="http://schemas.openxmlformats.org/officeDocument/2006/relationships" name="Parameter &amp; Decoding" sheetId="5" state="visible" r:id="rId5"/>
    <sheet xmlns:r="http://schemas.openxmlformats.org/officeDocument/2006/relationships" name="Polling Plan &amp; Batch Read" sheetId="6" state="visible" r:id="rId6"/>
    <sheet xmlns:r="http://schemas.openxmlformats.org/officeDocument/2006/relationships" name="Telemetry &amp; Data Integrity" sheetId="7" state="visible" r:id="rId7"/>
    <sheet xmlns:r="http://schemas.openxmlformats.org/officeDocument/2006/relationships" name="Aggregation &amp; Rollup" sheetId="8" state="visible" r:id="rId8"/>
    <sheet xmlns:r="http://schemas.openxmlformats.org/officeDocument/2006/relationships" name="Dashboard &amp; UI" sheetId="9" state="visible" r:id="rId9"/>
    <sheet xmlns:r="http://schemas.openxmlformats.org/officeDocument/2006/relationships" name="Historical Data &amp; Export" sheetId="10" state="visible" r:id="rId10"/>
    <sheet xmlns:r="http://schemas.openxmlformats.org/officeDocument/2006/relationships" name="Alarm, Logs &amp; Audit Trail" sheetId="11" state="visible" r:id="rId11"/>
    <sheet xmlns:r="http://schemas.openxmlformats.org/officeDocument/2006/relationships" name="Backup, Restore &amp; Retention" sheetId="12" state="visible" r:id="rId12"/>
    <sheet xmlns:r="http://schemas.openxmlformats.org/officeDocument/2006/relationships" name="Performance &amp; Security" sheetId="13" state="visible" r:id="rId13"/>
    <sheet xmlns:r="http://schemas.openxmlformats.org/officeDocument/2006/relationships" name="Customer Acceptance" sheetId="14" state="visible" r:id="rId14"/>
    <sheet xmlns:r="http://schemas.openxmlformats.org/officeDocument/2006/relationships" name="Defect Log" sheetId="15" state="visible" r:id="rId15"/>
  </sheets>
  <definedNames>
    <definedName name="_xlnm._FilterDatabase" localSheetId="1" hidden="1">'Installation &amp; Deployment'!$A$4:$N$16</definedName>
    <definedName name="_xlnm._FilterDatabase" localSheetId="2" hidden="1">'Authentication &amp; Authorization'!$A$4:$N$16</definedName>
    <definedName name="_xlnm._FilterDatabase" localSheetId="3" hidden="1">'Device &amp; Communication'!$A$4:$N$18</definedName>
    <definedName name="_xlnm._FilterDatabase" localSheetId="4" hidden="1">'Parameter &amp; Decoding'!$A$4:$N$18</definedName>
    <definedName name="_xlnm._FilterDatabase" localSheetId="5" hidden="1">'Polling Plan &amp; Batch Read'!$A$4:$N$18</definedName>
    <definedName name="_xlnm._FilterDatabase" localSheetId="6" hidden="1">'Telemetry &amp; Data Integrity'!$A$4:$N$16</definedName>
    <definedName name="_xlnm._FilterDatabase" localSheetId="7" hidden="1">'Aggregation &amp; Rollup'!$A$4:$N$14</definedName>
    <definedName name="_xlnm._FilterDatabase" localSheetId="8" hidden="1">'Dashboard &amp; UI'!$A$4:$N$20</definedName>
    <definedName name="_xlnm._FilterDatabase" localSheetId="9" hidden="1">'Historical Data &amp; Export'!$A$4:$N$16</definedName>
    <definedName name="_xlnm._FilterDatabase" localSheetId="10" hidden="1">'Alarm, Logs &amp; Audit Trail'!$A$4:$N$16</definedName>
    <definedName name="_xlnm._FilterDatabase" localSheetId="11" hidden="1">'Backup, Restore &amp; Retention'!$A$4:$N$14</definedName>
    <definedName name="_xlnm._FilterDatabase" localSheetId="12" hidden="1">'Performance &amp; Security'!$A$4:$N$16</definedName>
    <definedName name="_xlnm._FilterDatabase" localSheetId="13" hidden="1">'Customer Acceptance'!$A$4:$N$16</definedName>
    <definedName name="_xlnm._FilterDatabase" localSheetId="14" hidden="1">'Defect Log'!$A$4:$N$35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.5"/>
    </font>
    <font>
      <name val="Segoe UI"/>
      <b val="1"/>
      <color rgb="00FFFFFF"/>
      <sz val="9.5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334155"/>
      <sz val="9"/>
    </font>
    <font>
      <name val="Segoe UI"/>
      <color rgb="0064748B"/>
      <sz val="8.5"/>
    </font>
    <font>
      <name val="Segoe UI"/>
      <b val="1"/>
      <color rgb="00FFFFFF"/>
      <sz val="15"/>
    </font>
    <font>
      <name val="Segoe UI"/>
      <b val="1"/>
      <color rgb="00475569"/>
      <sz val="8.5"/>
    </font>
    <font>
      <name val="Segoe UI"/>
      <b val="1"/>
      <color rgb="000F172A"/>
      <sz val="16"/>
    </font>
    <font>
      <name val="Segoe UI"/>
      <b val="1"/>
      <color rgb="00475569"/>
      <sz val="16"/>
    </font>
    <font>
      <name val="Segoe UI"/>
      <b val="1"/>
      <color rgb="00166534"/>
      <sz val="16"/>
    </font>
    <font>
      <name val="Segoe UI"/>
      <b val="1"/>
      <color rgb="00991B1B"/>
      <sz val="16"/>
    </font>
    <font>
      <name val="Segoe UI"/>
      <b val="1"/>
      <color rgb="00B45309"/>
      <sz val="16"/>
    </font>
    <font>
      <name val="Segoe UI"/>
      <b val="1"/>
      <color rgb="000284C7"/>
      <sz val="16"/>
    </font>
    <font>
      <name val="Segoe UI"/>
      <b val="1"/>
      <color rgb="000F172A"/>
      <sz val="11"/>
    </font>
    <font>
      <name val="Segoe UI"/>
      <b val="1"/>
      <color rgb="000284C7"/>
      <sz val="9"/>
      <u val="single"/>
    </font>
    <font>
      <name val="Segoe UI"/>
      <b val="1"/>
      <color rgb="000F172A"/>
      <sz val="9.5"/>
    </font>
    <font>
      <name val="Segoe UI"/>
      <b val="1"/>
      <color rgb="000284C7"/>
      <sz val="9.5"/>
    </font>
    <font>
      <name val="Segoe UI"/>
      <b val="1"/>
      <color rgb="00166534"/>
      <sz val="9.5"/>
    </font>
    <font>
      <name val="Segoe UI"/>
      <b val="1"/>
      <color rgb="00991B1B"/>
      <sz val="9"/>
    </font>
    <font>
      <name val="Segoe UI"/>
      <b val="1"/>
      <color rgb="00C2410C"/>
      <sz val="9"/>
    </font>
    <font>
      <name val="Segoe UI"/>
      <b val="1"/>
      <color rgb="00854D0E"/>
      <sz val="9"/>
    </font>
    <font>
      <name val="Segoe UI"/>
      <b val="1"/>
      <color rgb="00475569"/>
      <sz val="9"/>
    </font>
  </fonts>
  <fills count="1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E2E8F0"/>
        <bgColor rgb="00E2E8F0"/>
      </patternFill>
    </fill>
    <fill>
      <patternFill patternType="solid">
        <fgColor rgb="00FFE4E6"/>
        <bgColor rgb="00FFE4E6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6" borderId="2" pivotButton="0" quotePrefix="0" xfId="0"/>
    <xf numFmtId="0" fontId="5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9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5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164" fontId="15" fillId="7" borderId="2" applyAlignment="1" pivotButton="0" quotePrefix="0" xfId="0">
      <alignment horizontal="center" vertical="center" wrapText="1"/>
    </xf>
    <xf numFmtId="164" fontId="12" fillId="8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0" fontId="18" fillId="11" borderId="3" applyAlignment="1" pivotButton="0" quotePrefix="0" xfId="0">
      <alignment horizontal="left" vertical="center" wrapText="1"/>
    </xf>
    <xf numFmtId="0" fontId="18" fillId="11" borderId="3" applyAlignment="1" pivotButton="0" quotePrefix="0" xfId="0">
      <alignment horizontal="center" vertical="center" wrapText="1"/>
    </xf>
    <xf numFmtId="164" fontId="19" fillId="11" borderId="3" applyAlignment="1" pivotButton="0" quotePrefix="0" xfId="0">
      <alignment horizontal="center" vertical="center" wrapText="1"/>
    </xf>
    <xf numFmtId="164" fontId="20" fillId="11" borderId="3" applyAlignment="1" pivotButton="0" quotePrefix="0" xfId="0">
      <alignment horizontal="center" vertical="center" wrapText="1"/>
    </xf>
    <xf numFmtId="0" fontId="16" fillId="0" borderId="0" pivotButton="0" quotePrefix="0" xfId="0"/>
    <xf numFmtId="0" fontId="0" fillId="0" borderId="1" pivotButton="0" quotePrefix="0" xfId="0"/>
    <xf numFmtId="0" fontId="5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22" fillId="13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left" vertical="center" wrapText="1"/>
    </xf>
    <xf numFmtId="0" fontId="24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ont>
        <name val="Segoe UI"/>
        <b val="1"/>
        <color rgb="0015803D"/>
        <sz val="9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B91C1C"/>
        <sz val="9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B45309"/>
        <sz val="9"/>
      </font>
      <fill>
        <patternFill patternType="solid">
          <fgColor rgb="00FEF3C7"/>
          <bgColor rgb="00FEF3C7"/>
        </patternFill>
      </fill>
    </dxf>
    <dxf>
      <font>
        <name val="Segoe UI"/>
        <i val="1"/>
        <color rgb="0064748B"/>
        <sz val="9"/>
      </font>
      <fill>
        <patternFill patternType="solid">
          <fgColor rgb="00F1F5F9"/>
          <bgColor rgb="00F1F5F9"/>
        </patternFill>
      </fill>
    </dxf>
    <dxf>
      <font>
        <name val="Segoe UI"/>
        <b val="1"/>
        <color rgb="00334155"/>
        <sz val="9"/>
      </font>
      <fill>
        <patternFill patternType="solid">
          <fgColor rgb="00E2E8F0"/>
          <bgColor rgb="00E2E8F0"/>
        </patternFill>
      </fill>
    </dxf>
    <dxf>
      <font>
        <name val="Segoe UI"/>
        <b val="1"/>
        <color rgb="00E11D48"/>
        <sz val="9"/>
      </font>
      <fill>
        <patternFill patternType="solid">
          <fgColor rgb="00FFE4E6"/>
          <bgColor rgb="00FFE4E6"/>
        </patternFill>
      </fill>
    </dxf>
    <dxf>
      <font>
        <name val="Segoe UI"/>
        <b val="1"/>
        <color rgb="00C2410C"/>
        <sz val="9"/>
      </font>
      <fill>
        <patternFill patternType="solid">
          <fgColor rgb="00FFEDD5"/>
          <bgColor rgb="00FFEDD5"/>
        </patternFill>
      </fill>
    </dxf>
    <dxf>
      <font>
        <name val="Segoe UI"/>
        <b val="1"/>
        <color rgb="00991B1B"/>
        <sz val="9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166534"/>
        <sz val="9"/>
      </font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stallation &amp; Deployment'!A1" TargetMode="External" Id="rId1"/><Relationship Type="http://schemas.openxmlformats.org/officeDocument/2006/relationships/hyperlink" Target="#'Authentication &amp; Authorization'!A1" TargetMode="External" Id="rId2"/><Relationship Type="http://schemas.openxmlformats.org/officeDocument/2006/relationships/hyperlink" Target="#'Device &amp; Communication'!A1" TargetMode="External" Id="rId3"/><Relationship Type="http://schemas.openxmlformats.org/officeDocument/2006/relationships/hyperlink" Target="#'Parameter &amp; Decoding'!A1" TargetMode="External" Id="rId4"/><Relationship Type="http://schemas.openxmlformats.org/officeDocument/2006/relationships/hyperlink" Target="#'Polling Plan &amp; Batch Read'!A1" TargetMode="External" Id="rId5"/><Relationship Type="http://schemas.openxmlformats.org/officeDocument/2006/relationships/hyperlink" Target="#'Telemetry &amp; Data Integrity'!A1" TargetMode="External" Id="rId6"/><Relationship Type="http://schemas.openxmlformats.org/officeDocument/2006/relationships/hyperlink" Target="#'Aggregation &amp; Rollup'!A1" TargetMode="External" Id="rId7"/><Relationship Type="http://schemas.openxmlformats.org/officeDocument/2006/relationships/hyperlink" Target="#'Dashboard &amp; UI'!A1" TargetMode="External" Id="rId8"/><Relationship Type="http://schemas.openxmlformats.org/officeDocument/2006/relationships/hyperlink" Target="#'Historical Data &amp; Export'!A1" TargetMode="External" Id="rId9"/><Relationship Type="http://schemas.openxmlformats.org/officeDocument/2006/relationships/hyperlink" Target="#'Alarm, Logs &amp; Audit Trail'!A1" TargetMode="External" Id="rId10"/><Relationship Type="http://schemas.openxmlformats.org/officeDocument/2006/relationships/hyperlink" Target="#'Backup, Restore &amp; Retention'!A1" TargetMode="External" Id="rId11"/><Relationship Type="http://schemas.openxmlformats.org/officeDocument/2006/relationships/hyperlink" Target="#'Performance &amp; Security'!A1" TargetMode="External" Id="rId12"/><Relationship Type="http://schemas.openxmlformats.org/officeDocument/2006/relationships/hyperlink" Target="#'Customer Acceptance'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20" customWidth="1" min="11" max="11"/>
    <col width="6" customWidth="1" min="12" max="12"/>
  </cols>
  <sheetData>
    <row r="1" ht="36" customHeight="1">
      <c r="B1" s="1" t="inlineStr">
        <is>
          <t>DATALOGGER ANALYSIS APPLICATION — QUALITY ASSURANCE TEST REPORT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B2" s="3" t="inlineStr">
        <is>
          <t>Document ID: DAA-QA-001 | Version: 1.0 | Status: Draft for QA Execution | Project: Datalogger Analysis Application (Edge Local)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0" customHeight="1"/>
    <row r="4" ht="18" customHeight="1">
      <c r="B4" s="5" t="inlineStr">
        <is>
          <t>Prepared By</t>
        </is>
      </c>
      <c r="C4" s="6" t="inlineStr">
        <is>
          <t>PT. Cipta Bina Instrumentasi (QA Team)</t>
        </is>
      </c>
      <c r="D4" s="7" t="n"/>
      <c r="E4" s="7" t="n"/>
      <c r="G4" s="5" t="inlineStr">
        <is>
          <t>Test Execution Date</t>
        </is>
      </c>
      <c r="H4" s="6" t="inlineStr">
        <is>
          <t>2026-10-23 s/d 2026-10-30</t>
        </is>
      </c>
      <c r="I4" s="7" t="n"/>
      <c r="J4" s="7" t="n"/>
      <c r="K4" s="7" t="n"/>
    </row>
    <row r="5" ht="18" customHeight="1">
      <c r="B5" s="5" t="inlineStr">
        <is>
          <t>Project / Site</t>
        </is>
      </c>
      <c r="C5" s="6" t="inlineStr">
        <is>
          <t>AQMS Monitoring Station (Edge SCADA)</t>
        </is>
      </c>
      <c r="D5" s="7" t="n"/>
      <c r="E5" s="7" t="n"/>
      <c r="G5" s="5" t="inlineStr">
        <is>
          <t>QA Lead Engineer</t>
        </is>
      </c>
      <c r="H5" s="6" t="inlineStr">
        <is>
          <t>[Nama QA Engineer]</t>
        </is>
      </c>
      <c r="I5" s="7" t="n"/>
      <c r="J5" s="7" t="n"/>
      <c r="K5" s="7" t="n"/>
    </row>
    <row r="6" ht="18" customHeight="1">
      <c r="B6" s="5" t="inlineStr">
        <is>
          <t>Tested Version</t>
        </is>
      </c>
      <c r="C6" s="6" t="inlineStr">
        <is>
          <t>Release v2.7.0-RC1 (Commit: 7327a79)</t>
        </is>
      </c>
      <c r="D6" s="7" t="n"/>
      <c r="E6" s="7" t="n"/>
      <c r="G6" s="5" t="inlineStr">
        <is>
          <t>System Analyst</t>
        </is>
      </c>
      <c r="H6" s="6" t="inlineStr">
        <is>
          <t>[Nama System Analyst]</t>
        </is>
      </c>
      <c r="I6" s="7" t="n"/>
      <c r="J6" s="7" t="n"/>
      <c r="K6" s="7" t="n"/>
    </row>
    <row r="7" ht="18" customHeight="1">
      <c r="B7" s="5" t="inlineStr">
        <is>
          <t>Target Platform</t>
        </is>
      </c>
      <c r="C7" s="6" t="inlineStr">
        <is>
          <t>Industrial Linux ARM64 / Win10 x64</t>
        </is>
      </c>
      <c r="D7" s="7" t="n"/>
      <c r="E7" s="7" t="n"/>
      <c r="G7" s="5" t="inlineStr">
        <is>
          <t>Lead Instrumentation</t>
        </is>
      </c>
      <c r="H7" s="6" t="inlineStr">
        <is>
          <t>[Nama Lead Instrumentation]</t>
        </is>
      </c>
      <c r="I7" s="7" t="n"/>
      <c r="J7" s="7" t="n"/>
      <c r="K7" s="7" t="n"/>
    </row>
    <row r="8" ht="18" customHeight="1">
      <c r="B8" s="5" t="inlineStr">
        <is>
          <t>Test Environment</t>
        </is>
      </c>
      <c r="C8" s="6" t="inlineStr">
        <is>
          <t>Staging Hardware Testbed (Modbus RTU &amp; TCP)</t>
        </is>
      </c>
      <c r="D8" s="7" t="n"/>
      <c r="E8" s="7" t="n"/>
      <c r="G8" s="5" t="inlineStr">
        <is>
          <t>Approval Authority</t>
        </is>
      </c>
      <c r="H8" s="6" t="inlineStr">
        <is>
          <t>[Nama Project Manager / Commissioning Lead]</t>
        </is>
      </c>
      <c r="I8" s="7" t="n"/>
      <c r="J8" s="7" t="n"/>
      <c r="K8" s="7" t="n"/>
    </row>
    <row r="9" ht="12" customHeight="1"/>
    <row r="10" ht="16" customHeight="1">
      <c r="B10" s="8" t="inlineStr">
        <is>
          <t>TOTAL TEST CASES</t>
        </is>
      </c>
      <c r="C10" s="9" t="n"/>
      <c r="D10" s="10" t="inlineStr">
        <is>
          <t>NOT TESTED</t>
        </is>
      </c>
      <c r="E10" s="11" t="inlineStr">
        <is>
          <t>PASSED</t>
        </is>
      </c>
      <c r="F10" s="12" t="inlineStr">
        <is>
          <t>FAILED</t>
        </is>
      </c>
      <c r="G10" s="13" t="inlineStr">
        <is>
          <t>BLOCKED</t>
        </is>
      </c>
      <c r="H10" s="8" t="inlineStr">
        <is>
          <t>EXECUTION %</t>
        </is>
      </c>
      <c r="I10" s="9" t="n"/>
      <c r="J10" s="11" t="inlineStr">
        <is>
          <t>PASS RATE %</t>
        </is>
      </c>
      <c r="K10" s="9" t="n"/>
    </row>
    <row r="11" ht="28" customHeight="1">
      <c r="B11" s="14">
        <f>C30</f>
        <v/>
      </c>
      <c r="C11" s="9" t="n"/>
      <c r="D11" s="15">
        <f>D30</f>
        <v/>
      </c>
      <c r="E11" s="16">
        <f>E30</f>
        <v/>
      </c>
      <c r="F11" s="17">
        <f>F30</f>
        <v/>
      </c>
      <c r="G11" s="18">
        <f>G30</f>
        <v/>
      </c>
      <c r="H11" s="19">
        <f>IF(C30&gt;0,(E30+F30+G30+H30)/C30,0)</f>
        <v/>
      </c>
      <c r="I11" s="9" t="n"/>
      <c r="J11" s="20">
        <f>IF((E30+F30)&gt;0,E30/(E30+F30),0)</f>
        <v/>
      </c>
      <c r="K11" s="9" t="n"/>
    </row>
    <row r="13" ht="12" customHeight="1"/>
    <row r="14" ht="22" customHeight="1">
      <c r="B14" s="21" t="inlineStr">
        <is>
          <t>QA TEST EXECUTION BREAKDOWN BY MODULE</t>
        </is>
      </c>
    </row>
    <row r="15" ht="24" customHeight="1">
      <c r="B15" s="22" t="inlineStr">
        <is>
          <t>Test Category / Scope Module</t>
        </is>
      </c>
      <c r="C15" s="23" t="inlineStr">
        <is>
          <t>Total Cases</t>
        </is>
      </c>
      <c r="D15" s="23" t="inlineStr">
        <is>
          <t>Not Tested</t>
        </is>
      </c>
      <c r="E15" s="23" t="inlineStr">
        <is>
          <t>Passed</t>
        </is>
      </c>
      <c r="F15" s="23" t="inlineStr">
        <is>
          <t>Failed</t>
        </is>
      </c>
      <c r="G15" s="23" t="inlineStr">
        <is>
          <t>Blocked</t>
        </is>
      </c>
      <c r="H15" s="23" t="inlineStr">
        <is>
          <t>N/A</t>
        </is>
      </c>
      <c r="I15" s="23" t="inlineStr">
        <is>
          <t>Execution %</t>
        </is>
      </c>
      <c r="J15" s="23" t="inlineStr">
        <is>
          <t>Pass Rate %</t>
        </is>
      </c>
      <c r="K15" s="23" t="inlineStr">
        <is>
          <t>Status / Readiness</t>
        </is>
      </c>
    </row>
    <row r="16" ht="20" customHeight="1">
      <c r="B16" s="24" t="inlineStr">
        <is>
          <t>Installation &amp; Deployment</t>
        </is>
      </c>
      <c r="C16" s="25">
        <f>COUNTA('Installation &amp; Deployment'!A5:A16)</f>
        <v/>
      </c>
      <c r="D16" s="26">
        <f>COUNTIF('Installation &amp; Deployment'!H5:H16, "NOT TESTED")</f>
        <v/>
      </c>
      <c r="E16" s="25">
        <f>COUNTIF('Installation &amp; Deployment'!H5:H16, "PASS")</f>
        <v/>
      </c>
      <c r="F16" s="25">
        <f>COUNTIF('Installation &amp; Deployment'!H5:H16, "FAIL")</f>
        <v/>
      </c>
      <c r="G16" s="26">
        <f>COUNTIF('Installation &amp; Deployment'!H5:H16, "BLOCKED")</f>
        <v/>
      </c>
      <c r="H16" s="26">
        <f>COUNTIF('Installation &amp; Deployment'!H5:H16, "NOT APPLICABLE")</f>
        <v/>
      </c>
      <c r="I16" s="27">
        <f>IF(C16&gt;0, (C16-D16)/C16, 0)</f>
        <v/>
      </c>
      <c r="J16" s="28">
        <f>IF((E16+F16)&gt;0, E16/(E16+F16), 0)</f>
        <v/>
      </c>
      <c r="K16" s="25">
        <f>IF(D16=C16, "NOT STARTED", IF(F16&gt;0, "DEFECTS OPEN", IF(E16=C16, "PASSED ALL", "TESTING")))</f>
        <v/>
      </c>
    </row>
    <row r="17" ht="20" customHeight="1">
      <c r="B17" s="29" t="inlineStr">
        <is>
          <t>Authentication &amp; Authorization</t>
        </is>
      </c>
      <c r="C17" s="30">
        <f>COUNTA('Authentication &amp; Authorization'!A5:A16)</f>
        <v/>
      </c>
      <c r="D17" s="31">
        <f>COUNTIF('Authentication &amp; Authorization'!H5:H16, "NOT TESTED")</f>
        <v/>
      </c>
      <c r="E17" s="30">
        <f>COUNTIF('Authentication &amp; Authorization'!H5:H16, "PASS")</f>
        <v/>
      </c>
      <c r="F17" s="30">
        <f>COUNTIF('Authentication &amp; Authorization'!H5:H16, "FAIL")</f>
        <v/>
      </c>
      <c r="G17" s="31">
        <f>COUNTIF('Authentication &amp; Authorization'!H5:H16, "BLOCKED")</f>
        <v/>
      </c>
      <c r="H17" s="31">
        <f>COUNTIF('Authentication &amp; Authorization'!H5:H16, "NOT APPLICABLE")</f>
        <v/>
      </c>
      <c r="I17" s="32">
        <f>IF(C17&gt;0, (C17-D17)/C17, 0)</f>
        <v/>
      </c>
      <c r="J17" s="33">
        <f>IF((E17+F17)&gt;0, E17/(E17+F17), 0)</f>
        <v/>
      </c>
      <c r="K17" s="30">
        <f>IF(D17=C17, "NOT STARTED", IF(F17&gt;0, "DEFECTS OPEN", IF(E17=C17, "PASSED ALL", "TESTING")))</f>
        <v/>
      </c>
    </row>
    <row r="18" ht="20" customHeight="1">
      <c r="B18" s="24" t="inlineStr">
        <is>
          <t>Device &amp; Communication</t>
        </is>
      </c>
      <c r="C18" s="25">
        <f>COUNTA('Device &amp; Communication'!A5:A18)</f>
        <v/>
      </c>
      <c r="D18" s="26">
        <f>COUNTIF('Device &amp; Communication'!H5:H18, "NOT TESTED")</f>
        <v/>
      </c>
      <c r="E18" s="25">
        <f>COUNTIF('Device &amp; Communication'!H5:H18, "PASS")</f>
        <v/>
      </c>
      <c r="F18" s="25">
        <f>COUNTIF('Device &amp; Communication'!H5:H18, "FAIL")</f>
        <v/>
      </c>
      <c r="G18" s="26">
        <f>COUNTIF('Device &amp; Communication'!H5:H18, "BLOCKED")</f>
        <v/>
      </c>
      <c r="H18" s="26">
        <f>COUNTIF('Device &amp; Communication'!H5:H18, "NOT APPLICABLE")</f>
        <v/>
      </c>
      <c r="I18" s="27">
        <f>IF(C18&gt;0, (C18-D18)/C18, 0)</f>
        <v/>
      </c>
      <c r="J18" s="28">
        <f>IF((E18+F18)&gt;0, E18/(E18+F18), 0)</f>
        <v/>
      </c>
      <c r="K18" s="25">
        <f>IF(D18=C18, "NOT STARTED", IF(F18&gt;0, "DEFECTS OPEN", IF(E18=C18, "PASSED ALL", "TESTING")))</f>
        <v/>
      </c>
    </row>
    <row r="19" ht="20" customHeight="1">
      <c r="B19" s="29" t="inlineStr">
        <is>
          <t>Parameter &amp; Decoding</t>
        </is>
      </c>
      <c r="C19" s="30">
        <f>COUNTA('Parameter &amp; Decoding'!A5:A18)</f>
        <v/>
      </c>
      <c r="D19" s="31">
        <f>COUNTIF('Parameter &amp; Decoding'!H5:H18, "NOT TESTED")</f>
        <v/>
      </c>
      <c r="E19" s="30">
        <f>COUNTIF('Parameter &amp; Decoding'!H5:H18, "PASS")</f>
        <v/>
      </c>
      <c r="F19" s="30">
        <f>COUNTIF('Parameter &amp; Decoding'!H5:H18, "FAIL")</f>
        <v/>
      </c>
      <c r="G19" s="31">
        <f>COUNTIF('Parameter &amp; Decoding'!H5:H18, "BLOCKED")</f>
        <v/>
      </c>
      <c r="H19" s="31">
        <f>COUNTIF('Parameter &amp; Decoding'!H5:H18, "NOT APPLICABLE")</f>
        <v/>
      </c>
      <c r="I19" s="32">
        <f>IF(C19&gt;0, (C19-D19)/C19, 0)</f>
        <v/>
      </c>
      <c r="J19" s="33">
        <f>IF((E19+F19)&gt;0, E19/(E19+F19), 0)</f>
        <v/>
      </c>
      <c r="K19" s="30">
        <f>IF(D19=C19, "NOT STARTED", IF(F19&gt;0, "DEFECTS OPEN", IF(E19=C19, "PASSED ALL", "TESTING")))</f>
        <v/>
      </c>
    </row>
    <row r="20" ht="20" customHeight="1">
      <c r="B20" s="24" t="inlineStr">
        <is>
          <t>Polling Plan &amp; Batch Read</t>
        </is>
      </c>
      <c r="C20" s="25">
        <f>COUNTA('Polling Plan &amp; Batch Read'!A5:A18)</f>
        <v/>
      </c>
      <c r="D20" s="26">
        <f>COUNTIF('Polling Plan &amp; Batch Read'!H5:H18, "NOT TESTED")</f>
        <v/>
      </c>
      <c r="E20" s="25">
        <f>COUNTIF('Polling Plan &amp; Batch Read'!H5:H18, "PASS")</f>
        <v/>
      </c>
      <c r="F20" s="25">
        <f>COUNTIF('Polling Plan &amp; Batch Read'!H5:H18, "FAIL")</f>
        <v/>
      </c>
      <c r="G20" s="26">
        <f>COUNTIF('Polling Plan &amp; Batch Read'!H5:H18, "BLOCKED")</f>
        <v/>
      </c>
      <c r="H20" s="26">
        <f>COUNTIF('Polling Plan &amp; Batch Read'!H5:H18, "NOT APPLICABLE")</f>
        <v/>
      </c>
      <c r="I20" s="27">
        <f>IF(C20&gt;0, (C20-D20)/C20, 0)</f>
        <v/>
      </c>
      <c r="J20" s="28">
        <f>IF((E20+F20)&gt;0, E20/(E20+F20), 0)</f>
        <v/>
      </c>
      <c r="K20" s="25">
        <f>IF(D20=C20, "NOT STARTED", IF(F20&gt;0, "DEFECTS OPEN", IF(E20=C20, "PASSED ALL", "TESTING")))</f>
        <v/>
      </c>
    </row>
    <row r="21" ht="20" customHeight="1">
      <c r="B21" s="29" t="inlineStr">
        <is>
          <t>Telemetry &amp; Data Integrity</t>
        </is>
      </c>
      <c r="C21" s="30">
        <f>COUNTA('Telemetry &amp; Data Integrity'!A5:A16)</f>
        <v/>
      </c>
      <c r="D21" s="31">
        <f>COUNTIF('Telemetry &amp; Data Integrity'!H5:H16, "NOT TESTED")</f>
        <v/>
      </c>
      <c r="E21" s="30">
        <f>COUNTIF('Telemetry &amp; Data Integrity'!H5:H16, "PASS")</f>
        <v/>
      </c>
      <c r="F21" s="30">
        <f>COUNTIF('Telemetry &amp; Data Integrity'!H5:H16, "FAIL")</f>
        <v/>
      </c>
      <c r="G21" s="31">
        <f>COUNTIF('Telemetry &amp; Data Integrity'!H5:H16, "BLOCKED")</f>
        <v/>
      </c>
      <c r="H21" s="31">
        <f>COUNTIF('Telemetry &amp; Data Integrity'!H5:H16, "NOT APPLICABLE")</f>
        <v/>
      </c>
      <c r="I21" s="32">
        <f>IF(C21&gt;0, (C21-D21)/C21, 0)</f>
        <v/>
      </c>
      <c r="J21" s="33">
        <f>IF((E21+F21)&gt;0, E21/(E21+F21), 0)</f>
        <v/>
      </c>
      <c r="K21" s="30">
        <f>IF(D21=C21, "NOT STARTED", IF(F21&gt;0, "DEFECTS OPEN", IF(E21=C21, "PASSED ALL", "TESTING")))</f>
        <v/>
      </c>
    </row>
    <row r="22" ht="20" customHeight="1">
      <c r="B22" s="24" t="inlineStr">
        <is>
          <t>Aggregation &amp; Rollup</t>
        </is>
      </c>
      <c r="C22" s="25">
        <f>COUNTA('Aggregation &amp; Rollup'!A5:A14)</f>
        <v/>
      </c>
      <c r="D22" s="26">
        <f>COUNTIF('Aggregation &amp; Rollup'!H5:H14, "NOT TESTED")</f>
        <v/>
      </c>
      <c r="E22" s="25">
        <f>COUNTIF('Aggregation &amp; Rollup'!H5:H14, "PASS")</f>
        <v/>
      </c>
      <c r="F22" s="25">
        <f>COUNTIF('Aggregation &amp; Rollup'!H5:H14, "FAIL")</f>
        <v/>
      </c>
      <c r="G22" s="26">
        <f>COUNTIF('Aggregation &amp; Rollup'!H5:H14, "BLOCKED")</f>
        <v/>
      </c>
      <c r="H22" s="26">
        <f>COUNTIF('Aggregation &amp; Rollup'!H5:H14, "NOT APPLICABLE")</f>
        <v/>
      </c>
      <c r="I22" s="27">
        <f>IF(C22&gt;0, (C22-D22)/C22, 0)</f>
        <v/>
      </c>
      <c r="J22" s="28">
        <f>IF((E22+F22)&gt;0, E22/(E22+F22), 0)</f>
        <v/>
      </c>
      <c r="K22" s="25">
        <f>IF(D22=C22, "NOT STARTED", IF(F22&gt;0, "DEFECTS OPEN", IF(E22=C22, "PASSED ALL", "TESTING")))</f>
        <v/>
      </c>
    </row>
    <row r="23" ht="20" customHeight="1">
      <c r="B23" s="29" t="inlineStr">
        <is>
          <t>Dashboard &amp; UI</t>
        </is>
      </c>
      <c r="C23" s="30">
        <f>COUNTA('Dashboard &amp; UI'!A5:A20)</f>
        <v/>
      </c>
      <c r="D23" s="31">
        <f>COUNTIF('Dashboard &amp; UI'!H5:H20, "NOT TESTED")</f>
        <v/>
      </c>
      <c r="E23" s="30">
        <f>COUNTIF('Dashboard &amp; UI'!H5:H20, "PASS")</f>
        <v/>
      </c>
      <c r="F23" s="30">
        <f>COUNTIF('Dashboard &amp; UI'!H5:H20, "FAIL")</f>
        <v/>
      </c>
      <c r="G23" s="31">
        <f>COUNTIF('Dashboard &amp; UI'!H5:H20, "BLOCKED")</f>
        <v/>
      </c>
      <c r="H23" s="31">
        <f>COUNTIF('Dashboard &amp; UI'!H5:H20, "NOT APPLICABLE")</f>
        <v/>
      </c>
      <c r="I23" s="32">
        <f>IF(C23&gt;0, (C23-D23)/C23, 0)</f>
        <v/>
      </c>
      <c r="J23" s="33">
        <f>IF((E23+F23)&gt;0, E23/(E23+F23), 0)</f>
        <v/>
      </c>
      <c r="K23" s="30">
        <f>IF(D23=C23, "NOT STARTED", IF(F23&gt;0, "DEFECTS OPEN", IF(E23=C23, "PASSED ALL", "TESTING")))</f>
        <v/>
      </c>
    </row>
    <row r="24" ht="20" customHeight="1">
      <c r="B24" s="24" t="inlineStr">
        <is>
          <t>Historical Data &amp; Export</t>
        </is>
      </c>
      <c r="C24" s="25">
        <f>COUNTA('Historical Data &amp; Export'!A5:A16)</f>
        <v/>
      </c>
      <c r="D24" s="26">
        <f>COUNTIF('Historical Data &amp; Export'!H5:H16, "NOT TESTED")</f>
        <v/>
      </c>
      <c r="E24" s="25">
        <f>COUNTIF('Historical Data &amp; Export'!H5:H16, "PASS")</f>
        <v/>
      </c>
      <c r="F24" s="25">
        <f>COUNTIF('Historical Data &amp; Export'!H5:H16, "FAIL")</f>
        <v/>
      </c>
      <c r="G24" s="26">
        <f>COUNTIF('Historical Data &amp; Export'!H5:H16, "BLOCKED")</f>
        <v/>
      </c>
      <c r="H24" s="26">
        <f>COUNTIF('Historical Data &amp; Export'!H5:H16, "NOT APPLICABLE")</f>
        <v/>
      </c>
      <c r="I24" s="27">
        <f>IF(C24&gt;0, (C24-D24)/C24, 0)</f>
        <v/>
      </c>
      <c r="J24" s="28">
        <f>IF((E24+F24)&gt;0, E24/(E24+F24), 0)</f>
        <v/>
      </c>
      <c r="K24" s="25">
        <f>IF(D24=C24, "NOT STARTED", IF(F24&gt;0, "DEFECTS OPEN", IF(E24=C24, "PASSED ALL", "TESTING")))</f>
        <v/>
      </c>
    </row>
    <row r="25" ht="20" customHeight="1">
      <c r="B25" s="29" t="inlineStr">
        <is>
          <t>Alarm, Logs &amp; Audit Trail</t>
        </is>
      </c>
      <c r="C25" s="30">
        <f>COUNTA('Alarm, Logs &amp; Audit Trail'!A5:A16)</f>
        <v/>
      </c>
      <c r="D25" s="31">
        <f>COUNTIF('Alarm, Logs &amp; Audit Trail'!H5:H16, "NOT TESTED")</f>
        <v/>
      </c>
      <c r="E25" s="30">
        <f>COUNTIF('Alarm, Logs &amp; Audit Trail'!H5:H16, "PASS")</f>
        <v/>
      </c>
      <c r="F25" s="30">
        <f>COUNTIF('Alarm, Logs &amp; Audit Trail'!H5:H16, "FAIL")</f>
        <v/>
      </c>
      <c r="G25" s="31">
        <f>COUNTIF('Alarm, Logs &amp; Audit Trail'!H5:H16, "BLOCKED")</f>
        <v/>
      </c>
      <c r="H25" s="31">
        <f>COUNTIF('Alarm, Logs &amp; Audit Trail'!H5:H16, "NOT APPLICABLE")</f>
        <v/>
      </c>
      <c r="I25" s="32">
        <f>IF(C25&gt;0, (C25-D25)/C25, 0)</f>
        <v/>
      </c>
      <c r="J25" s="33">
        <f>IF((E25+F25)&gt;0, E25/(E25+F25), 0)</f>
        <v/>
      </c>
      <c r="K25" s="30">
        <f>IF(D25=C25, "NOT STARTED", IF(F25&gt;0, "DEFECTS OPEN", IF(E25=C25, "PASSED ALL", "TESTING")))</f>
        <v/>
      </c>
    </row>
    <row r="26" ht="20" customHeight="1">
      <c r="B26" s="24" t="inlineStr">
        <is>
          <t>Backup, Restore &amp; Retention</t>
        </is>
      </c>
      <c r="C26" s="25">
        <f>COUNTA('Backup, Restore &amp; Retention'!A5:A14)</f>
        <v/>
      </c>
      <c r="D26" s="26">
        <f>COUNTIF('Backup, Restore &amp; Retention'!H5:H14, "NOT TESTED")</f>
        <v/>
      </c>
      <c r="E26" s="25">
        <f>COUNTIF('Backup, Restore &amp; Retention'!H5:H14, "PASS")</f>
        <v/>
      </c>
      <c r="F26" s="25">
        <f>COUNTIF('Backup, Restore &amp; Retention'!H5:H14, "FAIL")</f>
        <v/>
      </c>
      <c r="G26" s="26">
        <f>COUNTIF('Backup, Restore &amp; Retention'!H5:H14, "BLOCKED")</f>
        <v/>
      </c>
      <c r="H26" s="26">
        <f>COUNTIF('Backup, Restore &amp; Retention'!H5:H14, "NOT APPLICABLE")</f>
        <v/>
      </c>
      <c r="I26" s="27">
        <f>IF(C26&gt;0, (C26-D26)/C26, 0)</f>
        <v/>
      </c>
      <c r="J26" s="28">
        <f>IF((E26+F26)&gt;0, E26/(E26+F26), 0)</f>
        <v/>
      </c>
      <c r="K26" s="25">
        <f>IF(D26=C26, "NOT STARTED", IF(F26&gt;0, "DEFECTS OPEN", IF(E26=C26, "PASSED ALL", "TESTING")))</f>
        <v/>
      </c>
    </row>
    <row r="27" ht="20" customHeight="1">
      <c r="B27" s="29" t="inlineStr">
        <is>
          <t>Performance &amp; Security</t>
        </is>
      </c>
      <c r="C27" s="30">
        <f>COUNTA('Performance &amp; Security'!A5:A16)</f>
        <v/>
      </c>
      <c r="D27" s="31">
        <f>COUNTIF('Performance &amp; Security'!H5:H16, "NOT TESTED")</f>
        <v/>
      </c>
      <c r="E27" s="30">
        <f>COUNTIF('Performance &amp; Security'!H5:H16, "PASS")</f>
        <v/>
      </c>
      <c r="F27" s="30">
        <f>COUNTIF('Performance &amp; Security'!H5:H16, "FAIL")</f>
        <v/>
      </c>
      <c r="G27" s="31">
        <f>COUNTIF('Performance &amp; Security'!H5:H16, "BLOCKED")</f>
        <v/>
      </c>
      <c r="H27" s="31">
        <f>COUNTIF('Performance &amp; Security'!H5:H16, "NOT APPLICABLE")</f>
        <v/>
      </c>
      <c r="I27" s="32">
        <f>IF(C27&gt;0, (C27-D27)/C27, 0)</f>
        <v/>
      </c>
      <c r="J27" s="33">
        <f>IF((E27+F27)&gt;0, E27/(E27+F27), 0)</f>
        <v/>
      </c>
      <c r="K27" s="30">
        <f>IF(D27=C27, "NOT STARTED", IF(F27&gt;0, "DEFECTS OPEN", IF(E27=C27, "PASSED ALL", "TESTING")))</f>
        <v/>
      </c>
    </row>
    <row r="28" ht="20" customHeight="1">
      <c r="B28" s="24" t="inlineStr">
        <is>
          <t>Customer Acceptance</t>
        </is>
      </c>
      <c r="C28" s="25">
        <f>COUNTA('Customer Acceptance'!A5:A16)</f>
        <v/>
      </c>
      <c r="D28" s="26">
        <f>COUNTIF('Customer Acceptance'!H5:H16, "NOT TESTED")</f>
        <v/>
      </c>
      <c r="E28" s="25">
        <f>COUNTIF('Customer Acceptance'!H5:H16, "PASS")</f>
        <v/>
      </c>
      <c r="F28" s="25">
        <f>COUNTIF('Customer Acceptance'!H5:H16, "FAIL")</f>
        <v/>
      </c>
      <c r="G28" s="26">
        <f>COUNTIF('Customer Acceptance'!H5:H16, "BLOCKED")</f>
        <v/>
      </c>
      <c r="H28" s="26">
        <f>COUNTIF('Customer Acceptance'!H5:H16, "NOT APPLICABLE")</f>
        <v/>
      </c>
      <c r="I28" s="27">
        <f>IF(C28&gt;0, (C28-D28)/C28, 0)</f>
        <v/>
      </c>
      <c r="J28" s="28">
        <f>IF((E28+F28)&gt;0, E28/(E28+F28), 0)</f>
        <v/>
      </c>
      <c r="K28" s="25">
        <f>IF(D28=C28, "NOT STARTED", IF(F28&gt;0, "DEFECTS OPEN", IF(E28=C28, "PASSED ALL", "TESTING")))</f>
        <v/>
      </c>
    </row>
    <row r="30" ht="24" customHeight="1">
      <c r="B30" s="34" t="inlineStr">
        <is>
          <t>TOTAL / OVERALL PROJECT PROGRESS</t>
        </is>
      </c>
      <c r="C30" s="35">
        <f>SUM(C16:C28)</f>
        <v/>
      </c>
      <c r="D30" s="35">
        <f>SUM(D16:D28)</f>
        <v/>
      </c>
      <c r="E30" s="35">
        <f>SUM(E16:E28)</f>
        <v/>
      </c>
      <c r="F30" s="35">
        <f>SUM(F16:F28)</f>
        <v/>
      </c>
      <c r="G30" s="35">
        <f>SUM(G16:G28)</f>
        <v/>
      </c>
      <c r="H30" s="35">
        <f>SUM(H16:H28)</f>
        <v/>
      </c>
      <c r="I30" s="36">
        <f>IF(C30&gt;0, (C30-D30)/C30, 0)</f>
        <v/>
      </c>
      <c r="J30" s="37">
        <f>IF((E30+F30)&gt;0, E30/(E30+F30), 0)</f>
        <v/>
      </c>
      <c r="K30" s="35">
        <f>IF(D30=C30, "READY FOR QA EXECUTION", IF(F30&gt;0, "DEFECTS OPEN", IF(E30=C30, "ALL PASSED", "TESTING IN PROGRESS")))</f>
        <v/>
      </c>
    </row>
    <row r="31" ht="14" customHeight="1"/>
    <row r="32" ht="20" customHeight="1">
      <c r="B32" s="38" t="inlineStr">
        <is>
          <t>DEFECT SUMMARY BY SEVERITY</t>
        </is>
      </c>
      <c r="G32" s="38" t="inlineStr">
        <is>
          <t>RELEASE GATE CRITERIA &amp; COMMISSIONING READINESS</t>
        </is>
      </c>
    </row>
    <row r="33" ht="18" customHeight="1">
      <c r="B33" s="22" t="inlineStr">
        <is>
          <t>Severity Level</t>
        </is>
      </c>
      <c r="C33" s="23" t="inlineStr">
        <is>
          <t>Total Logged</t>
        </is>
      </c>
      <c r="D33" s="23" t="inlineStr">
        <is>
          <t>Release Gate Threshold</t>
        </is>
      </c>
      <c r="E33" s="39" t="n"/>
      <c r="G33" s="40" t="inlineStr">
        <is>
          <t>Gate 1: 100% Critical &amp; High test cases executed without blocker</t>
        </is>
      </c>
      <c r="H33" s="9" t="n"/>
      <c r="I33" s="9" t="n"/>
      <c r="J33" s="41" t="inlineStr">
        <is>
          <t>PENDING EXECUTION</t>
        </is>
      </c>
      <c r="K33" s="9" t="n"/>
    </row>
    <row r="34" ht="18" customHeight="1">
      <c r="B34" s="42" t="inlineStr">
        <is>
          <t>Critical</t>
        </is>
      </c>
      <c r="C34" s="25">
        <f>COUNTIF('Defect Log'!E5:E35, "Critical")</f>
        <v/>
      </c>
      <c r="D34" s="43" t="inlineStr">
        <is>
          <t>0 Allowed (Strict Blocker)</t>
        </is>
      </c>
      <c r="E34" s="9" t="n"/>
      <c r="G34" s="40" t="inlineStr">
        <is>
          <t>Gate 2: 0 Open Critical &amp; 0 Open High Defects in Defect Log</t>
        </is>
      </c>
      <c r="H34" s="9" t="n"/>
      <c r="I34" s="9" t="n"/>
      <c r="J34" s="41" t="inlineStr">
        <is>
          <t>PENDING EXECUTION</t>
        </is>
      </c>
      <c r="K34" s="9" t="n"/>
    </row>
    <row r="35" ht="18" customHeight="1">
      <c r="B35" s="44" t="inlineStr">
        <is>
          <t>High</t>
        </is>
      </c>
      <c r="C35" s="25">
        <f>COUNTIF('Defect Log'!E5:E35, "High")</f>
        <v/>
      </c>
      <c r="D35" s="43" t="inlineStr">
        <is>
          <t>0 Allowed (Must be Resolved)</t>
        </is>
      </c>
      <c r="E35" s="9" t="n"/>
      <c r="G35" s="40" t="inlineStr">
        <is>
          <t>Gate 3: Hardware testbed validation on actual Modbus RTU/TCP passed</t>
        </is>
      </c>
      <c r="H35" s="9" t="n"/>
      <c r="I35" s="9" t="n"/>
      <c r="J35" s="41" t="inlineStr">
        <is>
          <t>PENDING HARDWARE</t>
        </is>
      </c>
      <c r="K35" s="9" t="n"/>
    </row>
    <row r="36" ht="18" customHeight="1">
      <c r="B36" s="45" t="inlineStr">
        <is>
          <t>Medium</t>
        </is>
      </c>
      <c r="C36" s="25">
        <f>COUNTIF('Defect Log'!E5:E35, "Medium")</f>
        <v/>
      </c>
      <c r="D36" s="43" t="inlineStr">
        <is>
          <t>Max 3 (With Agreed Workaround)</t>
        </is>
      </c>
      <c r="E36" s="9" t="n"/>
      <c r="G36" s="40" t="inlineStr">
        <is>
          <t>Gate 4: 24h Stability &amp; Memory Leak test under 5s polling cadence passed</t>
        </is>
      </c>
      <c r="H36" s="9" t="n"/>
      <c r="I36" s="9" t="n"/>
      <c r="J36" s="41" t="inlineStr">
        <is>
          <t>PENDING SOAK TEST</t>
        </is>
      </c>
      <c r="K36" s="9" t="n"/>
    </row>
    <row r="37" ht="18" customHeight="1">
      <c r="B37" s="46" t="inlineStr">
        <is>
          <t>Low</t>
        </is>
      </c>
      <c r="C37" s="25">
        <f>COUNTIF('Defect Log'!E5:E35, "Low")</f>
        <v/>
      </c>
      <c r="D37" s="43" t="inlineStr">
        <is>
          <t>Tolerable for Handover</t>
        </is>
      </c>
      <c r="E37" s="9" t="n"/>
      <c r="G37" s="40" t="inlineStr">
        <is>
          <t>Gate 5: Customer User Manual (DAA-CUM-001) verified and handed over</t>
        </is>
      </c>
      <c r="H37" s="9" t="n"/>
      <c r="I37" s="9" t="n"/>
      <c r="J37" s="41" t="inlineStr">
        <is>
          <t>READY (DOCX AVAILABLE)</t>
        </is>
      </c>
      <c r="K37" s="9" t="n"/>
    </row>
    <row r="39" ht="14" customHeight="1"/>
    <row r="40" ht="20" customHeight="1">
      <c r="B40" s="38" t="inlineStr">
        <is>
          <t>OFFICIAL COMMISSIONING &amp; RELEASE SIGN-OFF</t>
        </is>
      </c>
    </row>
    <row r="41" ht="22" customHeight="1">
      <c r="B41" s="23" t="inlineStr">
        <is>
          <t>Role / Responsibility</t>
        </is>
      </c>
      <c r="C41" s="39" t="n"/>
      <c r="D41" s="39" t="n"/>
      <c r="E41" s="23" t="inlineStr">
        <is>
          <t>Full Name</t>
        </is>
      </c>
      <c r="F41" s="39" t="n"/>
      <c r="G41" s="23" t="inlineStr">
        <is>
          <t>Signature &amp; Stamp</t>
        </is>
      </c>
      <c r="H41" s="39" t="n"/>
      <c r="I41" s="23" t="inlineStr">
        <is>
          <t>Date</t>
        </is>
      </c>
      <c r="J41" s="23" t="inlineStr">
        <is>
          <t>Approval Status</t>
        </is>
      </c>
      <c r="K41" s="39" t="n"/>
    </row>
    <row r="42" ht="24" customHeight="1">
      <c r="B42" s="47" t="inlineStr">
        <is>
          <t>QA Lead Engineer</t>
        </is>
      </c>
      <c r="C42" s="7" t="n"/>
      <c r="D42" s="7" t="n"/>
      <c r="E42" s="6" t="inlineStr">
        <is>
          <t>[Nama QA Lead]</t>
        </is>
      </c>
      <c r="F42" s="7" t="n"/>
      <c r="G42" s="48" t="inlineStr">
        <is>
          <t>[ Sign Here ]</t>
        </is>
      </c>
      <c r="H42" s="7" t="n"/>
      <c r="I42" s="48" t="inlineStr">
        <is>
          <t>YYYY-MM-DD</t>
        </is>
      </c>
      <c r="J42" s="25" t="inlineStr">
        <is>
          <t>PENDING AUDIT</t>
        </is>
      </c>
      <c r="K42" s="7" t="n"/>
    </row>
    <row r="43" ht="24" customHeight="1">
      <c r="B43" s="49" t="inlineStr">
        <is>
          <t>Lead Instrumentation Engineer</t>
        </is>
      </c>
      <c r="C43" s="50" t="n"/>
      <c r="D43" s="50" t="n"/>
      <c r="E43" s="51" t="inlineStr">
        <is>
          <t>[Nama Lead Instrumentation]</t>
        </is>
      </c>
      <c r="F43" s="50" t="n"/>
      <c r="G43" s="52" t="inlineStr">
        <is>
          <t>[ Sign Here ]</t>
        </is>
      </c>
      <c r="H43" s="50" t="n"/>
      <c r="I43" s="52" t="inlineStr">
        <is>
          <t>YYYY-MM-DD</t>
        </is>
      </c>
      <c r="J43" s="30" t="inlineStr">
        <is>
          <t>PENDING WITNESS</t>
        </is>
      </c>
      <c r="K43" s="50" t="n"/>
    </row>
    <row r="44" ht="24" customHeight="1">
      <c r="B44" s="47" t="inlineStr">
        <is>
          <t>System Analyst / Architect</t>
        </is>
      </c>
      <c r="C44" s="7" t="n"/>
      <c r="D44" s="7" t="n"/>
      <c r="E44" s="6" t="inlineStr">
        <is>
          <t>[Nama System Analyst]</t>
        </is>
      </c>
      <c r="F44" s="7" t="n"/>
      <c r="G44" s="48" t="inlineStr">
        <is>
          <t>[ Sign Here ]</t>
        </is>
      </c>
      <c r="H44" s="7" t="n"/>
      <c r="I44" s="48" t="inlineStr">
        <is>
          <t>YYYY-MM-DD</t>
        </is>
      </c>
      <c r="J44" s="25" t="inlineStr">
        <is>
          <t>PENDING REVIEW</t>
        </is>
      </c>
      <c r="K44" s="7" t="n"/>
    </row>
    <row r="45" ht="24" customHeight="1">
      <c r="B45" s="49" t="inlineStr">
        <is>
          <t>Project Manager / Commissioning Lead</t>
        </is>
      </c>
      <c r="C45" s="50" t="n"/>
      <c r="D45" s="50" t="n"/>
      <c r="E45" s="51" t="inlineStr">
        <is>
          <t>[Nama Project Manager]</t>
        </is>
      </c>
      <c r="F45" s="50" t="n"/>
      <c r="G45" s="52" t="inlineStr">
        <is>
          <t>[ Sign Here ]</t>
        </is>
      </c>
      <c r="H45" s="50" t="n"/>
      <c r="I45" s="52" t="inlineStr">
        <is>
          <t>YYYY-MM-DD</t>
        </is>
      </c>
      <c r="J45" s="30" t="inlineStr">
        <is>
          <t>PENDING RELEASE</t>
        </is>
      </c>
      <c r="K45" s="50" t="n"/>
    </row>
  </sheetData>
  <mergeCells count="57">
    <mergeCell ref="E43:F43"/>
    <mergeCell ref="B42:D42"/>
    <mergeCell ref="G43:H43"/>
    <mergeCell ref="J44:K44"/>
    <mergeCell ref="G37:I37"/>
    <mergeCell ref="H10:I10"/>
    <mergeCell ref="D34:E34"/>
    <mergeCell ref="B40:K40"/>
    <mergeCell ref="J10:K10"/>
    <mergeCell ref="G42:H42"/>
    <mergeCell ref="E42:F42"/>
    <mergeCell ref="J37:K37"/>
    <mergeCell ref="G34:I34"/>
    <mergeCell ref="B44:D44"/>
    <mergeCell ref="D36:E36"/>
    <mergeCell ref="H5:K5"/>
    <mergeCell ref="B32:E32"/>
    <mergeCell ref="G33:I33"/>
    <mergeCell ref="E44:F44"/>
    <mergeCell ref="J34:K34"/>
    <mergeCell ref="B11:C11"/>
    <mergeCell ref="H8:K8"/>
    <mergeCell ref="C8:E8"/>
    <mergeCell ref="G35:I35"/>
    <mergeCell ref="J45:K45"/>
    <mergeCell ref="C7:E7"/>
    <mergeCell ref="J36:K36"/>
    <mergeCell ref="H4:K4"/>
    <mergeCell ref="H11:I11"/>
    <mergeCell ref="J35:K35"/>
    <mergeCell ref="J11:K11"/>
    <mergeCell ref="B45:D45"/>
    <mergeCell ref="B41:D41"/>
    <mergeCell ref="B10:C10"/>
    <mergeCell ref="D37:E37"/>
    <mergeCell ref="H6:K6"/>
    <mergeCell ref="J41:K41"/>
    <mergeCell ref="E45:F45"/>
    <mergeCell ref="G45:H45"/>
    <mergeCell ref="B2:K2"/>
    <mergeCell ref="C6:E6"/>
    <mergeCell ref="B1:K1"/>
    <mergeCell ref="B14:K14"/>
    <mergeCell ref="C5:E5"/>
    <mergeCell ref="G36:I36"/>
    <mergeCell ref="J43:K43"/>
    <mergeCell ref="D33:E33"/>
    <mergeCell ref="E41:F41"/>
    <mergeCell ref="G32:K32"/>
    <mergeCell ref="G41:H41"/>
    <mergeCell ref="C4:E4"/>
    <mergeCell ref="J33:K33"/>
    <mergeCell ref="J42:K42"/>
    <mergeCell ref="G44:H44"/>
    <mergeCell ref="H7:K7"/>
    <mergeCell ref="B43:D43"/>
    <mergeCell ref="D35:E35"/>
  </mergeCells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  <hyperlink xmlns:r="http://schemas.openxmlformats.org/officeDocument/2006/relationships" ref="B24" r:id="rId9"/>
    <hyperlink xmlns:r="http://schemas.openxmlformats.org/officeDocument/2006/relationships" ref="B25" r:id="rId10"/>
    <hyperlink xmlns:r="http://schemas.openxmlformats.org/officeDocument/2006/relationships" ref="B26" r:id="rId11"/>
    <hyperlink xmlns:r="http://schemas.openxmlformats.org/officeDocument/2006/relationships" ref="B27" r:id="rId12"/>
    <hyperlink xmlns:r="http://schemas.openxmlformats.org/officeDocument/2006/relationships" ref="B2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Installation &amp; Deployment | Doc ID: DAA-QA-001 | Version: 1.0 | Status: Draft for QA Execution | Scope: Pengujian prasyarat server, build artifact, database migration, dan daemon lifecycle.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TC-INST-001</t>
        </is>
      </c>
      <c r="B5" s="26" t="inlineStr">
        <is>
          <t>Installation</t>
        </is>
      </c>
      <c r="C5" s="6" t="inlineStr">
        <is>
          <t>Verifikasi prasyarat sistem operasi dan dependensi runtime</t>
        </is>
      </c>
      <c r="D5" s="6" t="inlineStr">
        <is>
          <t>Server target (Linux ARM64 / Windows 10/11) tersedia dengan Go 1.20+, Node.js 18+, MariaDB 10.4+</t>
        </is>
      </c>
      <c r="E5" s="6" t="inlineStr">
        <is>
          <t>1. Jalankan 'go version' dan 'node -v'
2. Periksa ketersediaan paket libpcap dan driver serial
3. Verifikasi alokasi memori RAM minimal 2GB</t>
        </is>
      </c>
      <c r="F5" s="6" t="inlineStr">
        <is>
          <t>Semua dependensi terpasang sesuai spesifikasi arsitektur target tanpa error</t>
        </is>
      </c>
      <c r="G5" s="6" t="inlineStr"/>
      <c r="H5" s="55" t="inlineStr">
        <is>
          <t>NOT TESTED</t>
        </is>
      </c>
      <c r="I5" s="25" t="inlineStr">
        <is>
          <t>High</t>
        </is>
      </c>
      <c r="J5" s="48" t="inlineStr">
        <is>
          <t>REQ-SYS-01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TC-INST-002</t>
        </is>
      </c>
      <c r="B6" s="31" t="inlineStr">
        <is>
          <t>Installation</t>
        </is>
      </c>
      <c r="C6" s="51" t="inlineStr">
        <is>
          <t>Kompilasi backend Go binary secara bersih</t>
        </is>
      </c>
      <c r="D6" s="51" t="inlineStr">
        <is>
          <t>Repository bersih pada branch release</t>
        </is>
      </c>
      <c r="E6" s="51" t="inlineStr">
        <is>
          <t>1. Jalankan 'go build -o datalogger ./cmd/main.go'
2. Periksa exit code kompilasi
3. Verifikasi ukuran binary executable</t>
        </is>
      </c>
      <c r="F6" s="51" t="inlineStr">
        <is>
          <t>Binary berhasil terkompilasi dengan exit code 0 tanpa error linking atau compiler warning</t>
        </is>
      </c>
      <c r="G6" s="51" t="inlineStr"/>
      <c r="H6" s="56" t="inlineStr">
        <is>
          <t>NOT TESTED</t>
        </is>
      </c>
      <c r="I6" s="30" t="inlineStr">
        <is>
          <t>Critical</t>
        </is>
      </c>
      <c r="J6" s="52" t="inlineStr">
        <is>
          <t>REQ-SYS-02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TC-INST-003</t>
        </is>
      </c>
      <c r="B7" s="26" t="inlineStr">
        <is>
          <t>Installation</t>
        </is>
      </c>
      <c r="C7" s="6" t="inlineStr">
        <is>
          <t>Kompilasi bundle frontend Vue 2 + Vite</t>
        </is>
      </c>
      <c r="D7" s="6" t="inlineStr">
        <is>
          <t>Direktori web memiliki node_modules terpasang</t>
        </is>
      </c>
      <c r="E7" s="6" t="inlineStr">
        <is>
          <t>1. Masuk ke direktori web
2. Jalankan 'npm run build'
3. Periksa direktori web/dist</t>
        </is>
      </c>
      <c r="F7" s="6" t="inlineStr">
        <is>
          <t>Vite menghasilkan aset produksi web/dist/index.html dan bundle JS/CSS teroptimasi</t>
        </is>
      </c>
      <c r="G7" s="6" t="inlineStr"/>
      <c r="H7" s="55" t="inlineStr">
        <is>
          <t>NOT TESTED</t>
        </is>
      </c>
      <c r="I7" s="25" t="inlineStr">
        <is>
          <t>Critical</t>
        </is>
      </c>
      <c r="J7" s="48" t="inlineStr">
        <is>
          <t>REQ-SYS-03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TC-INST-004</t>
        </is>
      </c>
      <c r="B8" s="31" t="inlineStr">
        <is>
          <t>Installation</t>
        </is>
      </c>
      <c r="C8" s="51" t="inlineStr">
        <is>
          <t>Konektivitas MariaDB Edge Local storage</t>
        </is>
      </c>
      <c r="D8" s="51" t="inlineStr">
        <is>
          <t>Service MariaDB berjalan pada 127.0.0.1:3306</t>
        </is>
      </c>
      <c r="E8" s="51" t="inlineStr">
        <is>
          <t>1. Periksa koneksi TCP port 3306
2. Lakukan login menggunakan kredensial datalogger
3. Jalankan query SELECT 1</t>
        </is>
      </c>
      <c r="F8" s="51" t="inlineStr">
        <is>
          <t>Koneksi database lokal berhasil dengan latensi di bawah 10ms</t>
        </is>
      </c>
      <c r="G8" s="51" t="inlineStr"/>
      <c r="H8" s="56" t="inlineStr">
        <is>
          <t>NOT TESTED</t>
        </is>
      </c>
      <c r="I8" s="30" t="inlineStr">
        <is>
          <t>Critical</t>
        </is>
      </c>
      <c r="J8" s="52" t="inlineStr">
        <is>
          <t>REQ-DB-01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TC-INST-005</t>
        </is>
      </c>
      <c r="B9" s="26" t="inlineStr">
        <is>
          <t>Installation</t>
        </is>
      </c>
      <c r="C9" s="6" t="inlineStr">
        <is>
          <t>Eksekusi otomatis migrasi skema database</t>
        </is>
      </c>
      <c r="D9" s="6" t="inlineStr">
        <is>
          <t>Database datalogger belum memiliki tabel terbaru</t>
        </is>
      </c>
      <c r="E9" s="6" t="inlineStr">
        <is>
          <t>1. Jalankan aplikasi pertama kali
2. Periksa log startup migration
3. Periksa tabel devices, parameters, telemetry_readings</t>
        </is>
      </c>
      <c r="F9" s="6" t="inlineStr">
        <is>
          <t>Seluruh tabel schema Phase 1 s/d Phase 10 terbuat otomatis secara idempotensial</t>
        </is>
      </c>
      <c r="G9" s="6" t="inlineStr"/>
      <c r="H9" s="55" t="inlineStr">
        <is>
          <t>NOT TESTED</t>
        </is>
      </c>
      <c r="I9" s="25" t="inlineStr">
        <is>
          <t>Critical</t>
        </is>
      </c>
      <c r="J9" s="48" t="inlineStr">
        <is>
          <t>REQ-DB-02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TC-INST-006</t>
        </is>
      </c>
      <c r="B10" s="31" t="inlineStr">
        <is>
          <t>Installation</t>
        </is>
      </c>
      <c r="C10" s="51" t="inlineStr">
        <is>
          <t>Validasi konfigurasi config.json dan environment</t>
        </is>
      </c>
      <c r="D10" s="51" t="inlineStr">
        <is>
          <t>File config.json tersedia di direktori kerja</t>
        </is>
      </c>
      <c r="E10" s="51" t="inlineStr">
        <is>
          <t>1. Buka config.json
2. Verifikasi host, port, db_name, serial port defaults
3. Uji penimpaan via environment variable</t>
        </is>
      </c>
      <c r="F10" s="51" t="inlineStr">
        <is>
          <t>Konfigurasi dimuat dengan benar dan fallback default aktif jika field kosong</t>
        </is>
      </c>
      <c r="G10" s="51" t="inlineStr"/>
      <c r="H10" s="56" t="inlineStr">
        <is>
          <t>NOT TESTED</t>
        </is>
      </c>
      <c r="I10" s="30" t="inlineStr">
        <is>
          <t>High</t>
        </is>
      </c>
      <c r="J10" s="52" t="inlineStr">
        <is>
          <t>REQ-CFG-01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TC-INST-007</t>
        </is>
      </c>
      <c r="B11" s="26" t="inlineStr">
        <is>
          <t>Installation</t>
        </is>
      </c>
      <c r="C11" s="6" t="inlineStr">
        <is>
          <t>Lifecycle service: Start dan Stop graceful shutdown</t>
        </is>
      </c>
      <c r="D11" s="6" t="inlineStr">
        <is>
          <t>Aplikasi sedang berjalan normal</t>
        </is>
      </c>
      <c r="E11" s="6" t="inlineStr">
        <is>
          <t>1. Jalankan service daemon
2. Kirim sinyal SIGINT / SIGTERM
3. Amati log penutupan pool database dan worker polling</t>
        </is>
      </c>
      <c r="F11" s="6" t="inlineStr">
        <is>
          <t>Aplikasi berhenti secara anggun (graceful) tanpa data korup dalam waktu &lt; 5 detik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REQ-SYS-04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TC-INST-008</t>
        </is>
      </c>
      <c r="B12" s="31" t="inlineStr">
        <is>
          <t>Installation</t>
        </is>
      </c>
      <c r="C12" s="51" t="inlineStr">
        <is>
          <t>Auto-start service setelah system reboot</t>
        </is>
      </c>
      <c r="D12" s="51" t="inlineStr">
        <is>
          <t>Systemd service / Task scheduler terkonfigurasi</t>
        </is>
      </c>
      <c r="E12" s="51" t="inlineStr">
        <is>
          <t>1. Lakukan reboot pada host server
2. Tunggu hingga OS selesai booting
3. Periksa status service 'systemctl status datalogger'</t>
        </is>
      </c>
      <c r="F12" s="51" t="inlineStr">
        <is>
          <t>Service datalogger otomatis berjalan kembali dan langsung memulai polling tanpa intervensi manual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REQ-SYS-05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TC-INST-009</t>
        </is>
      </c>
      <c r="B13" s="26" t="inlineStr">
        <is>
          <t>Installation</t>
        </is>
      </c>
      <c r="C13" s="6" t="inlineStr">
        <is>
          <t>Binding HTTP port 8080 dan reverse proxy</t>
        </is>
      </c>
      <c r="D13" s="6" t="inlineStr">
        <is>
          <t>Service datalogger aktif</t>
        </is>
      </c>
      <c r="E13" s="6" t="inlineStr">
        <is>
          <t>1. Jalankan 'curl -I http://localhost:8080/api/system/health'
2. Periksa respons header</t>
        </is>
      </c>
      <c r="F13" s="6" t="inlineStr">
        <is>
          <t>Endpoint HTTP 8080 merespons dengan status 200 OK dan header CORS terkonfigurasi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REQ-NET-01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TC-INST-010</t>
        </is>
      </c>
      <c r="B14" s="31" t="inlineStr">
        <is>
          <t>Installation</t>
        </is>
      </c>
      <c r="C14" s="51" t="inlineStr">
        <is>
          <t>Aksesibilitas antarmuka web melalui browser</t>
        </is>
      </c>
      <c r="D14" s="51" t="inlineStr">
        <is>
          <t>Workstation klien terhubung ke jaringan stasiun</t>
        </is>
      </c>
      <c r="E14" s="51" t="inlineStr">
        <is>
          <t>1. Buka Google Chrome
2. Akses http://[IP_Server]:8080
3. Verifikasi halaman dimuat</t>
        </is>
      </c>
      <c r="F14" s="51" t="inlineStr">
        <is>
          <t>Aplikasi web Single Page Application berhasil dimuat dalam waktu &lt; 2 detik</t>
        </is>
      </c>
      <c r="G14" s="51" t="inlineStr"/>
      <c r="H14" s="56" t="inlineStr">
        <is>
          <t>NOT TESTED</t>
        </is>
      </c>
      <c r="I14" s="30" t="inlineStr">
        <is>
          <t>High</t>
        </is>
      </c>
      <c r="J14" s="52" t="inlineStr">
        <is>
          <t>REQ-UI-01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TC-INST-011</t>
        </is>
      </c>
      <c r="B15" s="26" t="inlineStr">
        <is>
          <t>Installation</t>
        </is>
      </c>
      <c r="C15" s="6" t="inlineStr">
        <is>
          <t>Audit ketiadaan rahasia (secrets) pada client bundle</t>
        </is>
      </c>
      <c r="D15" s="6" t="inlineStr">
        <is>
          <t>Aset web/dist telah terkompilasi</t>
        </is>
      </c>
      <c r="E15" s="6" t="inlineStr">
        <is>
          <t>1. Lakukan grep pada bundle JS untuk kata kunci 'Password123!', db password, atau private keys</t>
        </is>
      </c>
      <c r="F15" s="6" t="inlineStr">
        <is>
          <t>Tidak ada kredensial database atau secret server yang terekspos pada sisi klien</t>
        </is>
      </c>
      <c r="G15" s="6" t="inlineStr"/>
      <c r="H15" s="55" t="inlineStr">
        <is>
          <t>NOT TESTED</t>
        </is>
      </c>
      <c r="I15" s="25" t="inlineStr">
        <is>
          <t>Critical</t>
        </is>
      </c>
      <c r="J15" s="48" t="inlineStr">
        <is>
          <t>REQ-SEC-01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TC-INST-012</t>
        </is>
      </c>
      <c r="B16" s="31" t="inlineStr">
        <is>
          <t>Installation</t>
        </is>
      </c>
      <c r="C16" s="51" t="inlineStr">
        <is>
          <t>Rotasi dan penulisan file log startup</t>
        </is>
      </c>
      <c r="D16" s="51" t="inlineStr">
        <is>
          <t>Direktori logs/ terkonfigurasi</t>
        </is>
      </c>
      <c r="E16" s="51" t="inlineStr">
        <is>
          <t>1. Periksa file logs/datalogger.log
2. Verifikasi format timestamp, level [INFO], dan jejak subsystem</t>
        </is>
      </c>
      <c r="F16" s="51" t="inlineStr">
        <is>
          <t>Log tercatat rapi dengan level logging terstruktur tanpa membanjiri disk</t>
        </is>
      </c>
      <c r="G16" s="51" t="inlineStr"/>
      <c r="H16" s="56" t="inlineStr">
        <is>
          <t>NOT TESTED</t>
        </is>
      </c>
      <c r="I16" s="30" t="inlineStr">
        <is>
          <t>Medium</t>
        </is>
      </c>
      <c r="J16" s="52" t="inlineStr">
        <is>
          <t>REQ-LOG-01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</sheetData>
  <autoFilter ref="A4:N16"/>
  <mergeCells count="2">
    <mergeCell ref="A2:N2"/>
    <mergeCell ref="A1:N1"/>
  </mergeCells>
  <conditionalFormatting sqref="H5:H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6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6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6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Authentication &amp; Authorization | Doc ID: DAA-QA-001 | Version: 1.0 | Status: Draft for QA Execution | Scope: Pengujian autentikasi JWT, password hashing bcrypt, kontrol peran (RBAC), dan proteksi endpoint.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TC-AUTH-001</t>
        </is>
      </c>
      <c r="B5" s="26" t="inlineStr">
        <is>
          <t>Authentication</t>
        </is>
      </c>
      <c r="C5" s="6" t="inlineStr">
        <is>
          <t>Login menggunakan akun valid (Operator, Engineer, Admin, Superadmin)</t>
        </is>
      </c>
      <c r="D5" s="6" t="inlineStr">
        <is>
          <t>Pengguna memiliki akun terdaftar di database</t>
        </is>
      </c>
      <c r="E5" s="6" t="inlineStr">
        <is>
          <t>1. Buka /#/login
2. Masukkan username 'operator_user' dan password valid
3. Klik 'Sign In →'</t>
        </is>
      </c>
      <c r="F5" s="6" t="inlineStr">
        <is>
          <t>Login sukses, JWT token tersimpan di client, diarahkan langsung ke Operator Console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REQ-AUTH-01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TC-AUTH-002</t>
        </is>
      </c>
      <c r="B6" s="31" t="inlineStr">
        <is>
          <t>Authentication</t>
        </is>
      </c>
      <c r="C6" s="51" t="inlineStr">
        <is>
          <t>Login dengan password salah menampilkan pesan error</t>
        </is>
      </c>
      <c r="D6" s="51" t="inlineStr">
        <is>
          <t>Halaman /#/login terbuka</t>
        </is>
      </c>
      <c r="E6" s="51" t="inlineStr">
        <is>
          <t>1. Masukkan username valid
2. Masukkan password salah
3. Klik 'Sign In →'</t>
        </is>
      </c>
      <c r="F6" s="51" t="inlineStr">
        <is>
          <t>Login ditolak, sistem menampilkan toast merah 'Invalid username or password' tanpa membocorkan detail akun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REQ-AUTH-02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TC-AUTH-003</t>
        </is>
      </c>
      <c r="B7" s="26" t="inlineStr">
        <is>
          <t>Authentication</t>
        </is>
      </c>
      <c r="C7" s="6" t="inlineStr">
        <is>
          <t>Validasi form login terhadap input kosong</t>
        </is>
      </c>
      <c r="D7" s="6" t="inlineStr">
        <is>
          <t>Halaman /#/login terbuka</t>
        </is>
      </c>
      <c r="E7" s="6" t="inlineStr">
        <is>
          <t>1. Kosongkan username atau password
2. Klik 'Sign In →'</t>
        </is>
      </c>
      <c r="F7" s="6" t="inlineStr">
        <is>
          <t>Validasi form HTML5/Vue aktif mencegah submit data kosong</t>
        </is>
      </c>
      <c r="G7" s="6" t="inlineStr"/>
      <c r="H7" s="55" t="inlineStr">
        <is>
          <t>NOT TESTED</t>
        </is>
      </c>
      <c r="I7" s="25" t="inlineStr">
        <is>
          <t>Medium</t>
        </is>
      </c>
      <c r="J7" s="48" t="inlineStr">
        <is>
          <t>REQ-AUTH-03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TC-AUTH-004</t>
        </is>
      </c>
      <c r="B8" s="31" t="inlineStr">
        <is>
          <t>Authentication</t>
        </is>
      </c>
      <c r="C8" s="51" t="inlineStr">
        <is>
          <t>Prosedur logout dan pembersihan token sesi</t>
        </is>
      </c>
      <c r="D8" s="51" t="inlineStr">
        <is>
          <t>Pengguna sedang login di aplikasi</t>
        </is>
      </c>
      <c r="E8" s="51" t="inlineStr">
        <is>
          <t>1. Klik badge akun di Header
2. Pilih Logout
3. Konfirmasi pada modal 'Confirm Session Logout'</t>
        </is>
      </c>
      <c r="F8" s="51" t="inlineStr">
        <is>
          <t>Token dibersihkan dari localStorage, sesi berakhir, diarahkan kembali ke /#/login</t>
        </is>
      </c>
      <c r="G8" s="51" t="inlineStr"/>
      <c r="H8" s="56" t="inlineStr">
        <is>
          <t>NOT TESTED</t>
        </is>
      </c>
      <c r="I8" s="30" t="inlineStr">
        <is>
          <t>High</t>
        </is>
      </c>
      <c r="J8" s="52" t="inlineStr">
        <is>
          <t>REQ-AUTH-04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TC-AUTH-005</t>
        </is>
      </c>
      <c r="B9" s="26" t="inlineStr">
        <is>
          <t>Authentication</t>
        </is>
      </c>
      <c r="C9" s="6" t="inlineStr">
        <is>
          <t>Penanganan sesi kedaluwarsa (Expired JWT)</t>
        </is>
      </c>
      <c r="D9" s="6" t="inlineStr">
        <is>
          <t>Token JWT diubah secara manual menjadi expired</t>
        </is>
      </c>
      <c r="E9" s="6" t="inlineStr">
        <is>
          <t>1. Lakukan request API dengan expired token
2. Amati respons backend dan aksi frontend</t>
        </is>
      </c>
      <c r="F9" s="6" t="inlineStr">
        <is>
          <t>Backend mengembalikan HTTP 401 Unauthorized, frontend otomatis mengarahkan ke login</t>
        </is>
      </c>
      <c r="G9" s="6" t="inlineStr"/>
      <c r="H9" s="55" t="inlineStr">
        <is>
          <t>NOT TESTED</t>
        </is>
      </c>
      <c r="I9" s="25" t="inlineStr">
        <is>
          <t>High</t>
        </is>
      </c>
      <c r="J9" s="48" t="inlineStr">
        <is>
          <t>REQ-AUTH-05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TC-AUTH-006</t>
        </is>
      </c>
      <c r="B10" s="31" t="inlineStr">
        <is>
          <t>Authentication</t>
        </is>
      </c>
      <c r="C10" s="51" t="inlineStr">
        <is>
          <t>Proteksi rute tanpa autentikasi (Unauthenticated Redirect)</t>
        </is>
      </c>
      <c r="D10" s="51" t="inlineStr">
        <is>
          <t>Browser dalam status unauthenticated (tanpa token)</t>
        </is>
      </c>
      <c r="E10" s="51" t="inlineStr">
        <is>
          <t>1. Akses langsung URL /#/monitoring/devices atau /#/alarm/active via address bar</t>
        </is>
      </c>
      <c r="F10" s="51" t="inlineStr">
        <is>
          <t>Route guard Vue Router mencegat navigasi dan me-redirect ke /#/login?redirect=...</t>
        </is>
      </c>
      <c r="G10" s="51" t="inlineStr"/>
      <c r="H10" s="56" t="inlineStr">
        <is>
          <t>NOT TESTED</t>
        </is>
      </c>
      <c r="I10" s="30" t="inlineStr">
        <is>
          <t>Critical</t>
        </is>
      </c>
      <c r="J10" s="52" t="inlineStr">
        <is>
          <t>REQ-AUTH-06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TC-AUTH-007</t>
        </is>
      </c>
      <c r="B11" s="26" t="inlineStr">
        <is>
          <t>RBAC</t>
        </is>
      </c>
      <c r="C11" s="6" t="inlineStr">
        <is>
          <t>Pembatasan hak akses role OPERATOR</t>
        </is>
      </c>
      <c r="D11" s="6" t="inlineStr">
        <is>
          <t>Login sebagai @operator_user (Role OPERATOR)</t>
        </is>
      </c>
      <c r="E11" s="6" t="inlineStr">
        <is>
          <t>1. Coba akses menu /#/administration/config atau /#/administration/users via URL</t>
        </is>
      </c>
      <c r="F11" s="6" t="inlineStr">
        <is>
          <t>Navigasi dicegat, sistem menampilkan layar proteksi 'Access Restricted (HTTP 403)'</t>
        </is>
      </c>
      <c r="G11" s="6" t="inlineStr"/>
      <c r="H11" s="55" t="inlineStr">
        <is>
          <t>NOT TESTED</t>
        </is>
      </c>
      <c r="I11" s="25" t="inlineStr">
        <is>
          <t>Critical</t>
        </is>
      </c>
      <c r="J11" s="48" t="inlineStr">
        <is>
          <t>REQ-RBAC-01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TC-AUTH-008</t>
        </is>
      </c>
      <c r="B12" s="31" t="inlineStr">
        <is>
          <t>RBAC</t>
        </is>
      </c>
      <c r="C12" s="51" t="inlineStr">
        <is>
          <t>Kewenangan role ENGINEER untuk konfigurasi perangkat</t>
        </is>
      </c>
      <c r="D12" s="51" t="inlineStr">
        <is>
          <t>Login sebagai @engineer_user (Role ENGINEER)</t>
        </is>
      </c>
      <c r="E12" s="51" t="inlineStr">
        <is>
          <t>1. Buka /#/monitoring/devices
2. Buka modal edit perangkat dan parameter</t>
        </is>
      </c>
      <c r="F12" s="51" t="inlineStr">
        <is>
          <t>Engineer berwenang mengubah baud rate, formula, dan melakukan Test Read register</t>
        </is>
      </c>
      <c r="G12" s="51" t="inlineStr"/>
      <c r="H12" s="56" t="inlineStr">
        <is>
          <t>NOT TESTED</t>
        </is>
      </c>
      <c r="I12" s="30" t="inlineStr">
        <is>
          <t>High</t>
        </is>
      </c>
      <c r="J12" s="52" t="inlineStr">
        <is>
          <t>REQ-RBAC-02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TC-AUTH-009</t>
        </is>
      </c>
      <c r="B13" s="26" t="inlineStr">
        <is>
          <t>RBAC</t>
        </is>
      </c>
      <c r="C13" s="6" t="inlineStr">
        <is>
          <t>Kewenangan role ADMIN untuk manajemen user customer</t>
        </is>
      </c>
      <c r="D13" s="6" t="inlineStr">
        <is>
          <t>Login sebagai @admin_user (Role ADMIN)</t>
        </is>
      </c>
      <c r="E13" s="6" t="inlineStr">
        <is>
          <t>1. Buka /#/administration/users
2. Tambah user baru bertipe OPERATOR</t>
        </is>
      </c>
      <c r="F13" s="6" t="inlineStr">
        <is>
          <t>Admin dapat membuat, mengedit, dan menonaktifkan akun operator lokal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REQ-RBAC-03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TC-AUTH-010</t>
        </is>
      </c>
      <c r="B14" s="31" t="inlineStr">
        <is>
          <t>RBAC</t>
        </is>
      </c>
      <c r="C14" s="51" t="inlineStr">
        <is>
          <t>Eksklusivitas role SUPERADMIN untuk development tracking</t>
        </is>
      </c>
      <c r="D14" s="51" t="inlineStr">
        <is>
          <t>Login sebagai @admin (Role SUPERADMIN)</t>
        </is>
      </c>
      <c r="E14" s="51" t="inlineStr">
        <is>
          <t>1. Periksa sidebar menu
2. Buka /#/development dan /#/dashboard</t>
        </is>
      </c>
      <c r="F14" s="51" t="inlineStr">
        <is>
          <t>Menu Development Phases, Tasks, dan Quality hanya muncul dan dapat diakses oleh SUPERADMIN</t>
        </is>
      </c>
      <c r="G14" s="51" t="inlineStr"/>
      <c r="H14" s="56" t="inlineStr">
        <is>
          <t>NOT TESTED</t>
        </is>
      </c>
      <c r="I14" s="30" t="inlineStr">
        <is>
          <t>Critical</t>
        </is>
      </c>
      <c r="J14" s="52" t="inlineStr">
        <is>
          <t>REQ-RBAC-04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TC-AUTH-011</t>
        </is>
      </c>
      <c r="B15" s="26" t="inlineStr">
        <is>
          <t>Security</t>
        </is>
      </c>
      <c r="C15" s="6" t="inlineStr">
        <is>
          <t>Validasi Authorization header Bearer pada API endpoints</t>
        </is>
      </c>
      <c r="D15" s="6" t="inlineStr">
        <is>
          <t>Tools pengujian API (cURL / Postman)</t>
        </is>
      </c>
      <c r="E15" s="6" t="inlineStr">
        <is>
          <t>1. Request GET /api/devices tanpa header Authorization
2. Request dengan header 'Bearer invalid_token'</t>
        </is>
      </c>
      <c r="F15" s="6" t="inlineStr">
        <is>
          <t>Backend menolak dengan HTTP 401 Unauthorized dan format JSON error baku</t>
        </is>
      </c>
      <c r="G15" s="6" t="inlineStr"/>
      <c r="H15" s="55" t="inlineStr">
        <is>
          <t>NOT TESTED</t>
        </is>
      </c>
      <c r="I15" s="25" t="inlineStr">
        <is>
          <t>Critical</t>
        </is>
      </c>
      <c r="J15" s="48" t="inlineStr">
        <is>
          <t>REQ-API-01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TC-AUTH-012</t>
        </is>
      </c>
      <c r="B16" s="31" t="inlineStr">
        <is>
          <t>Security</t>
        </is>
      </c>
      <c r="C16" s="51" t="inlineStr">
        <is>
          <t>Audit keamanan log kredensial (Credential Log Hygiene)</t>
        </is>
      </c>
      <c r="D16" s="51" t="inlineStr">
        <is>
          <t>Pengguna melakukan login dan registrasi user</t>
        </is>
      </c>
      <c r="E16" s="51" t="inlineStr">
        <is>
          <t>1. Periksa file logs/datalogger.log
2. Cari string password yang baru dikirim</t>
        </is>
      </c>
      <c r="F16" s="51" t="inlineStr">
        <is>
          <t>Password dalam payload tidak pernah dicatat dalam plain text pada log server</t>
        </is>
      </c>
      <c r="G16" s="51" t="inlineStr"/>
      <c r="H16" s="56" t="inlineStr">
        <is>
          <t>NOT TESTED</t>
        </is>
      </c>
      <c r="I16" s="30" t="inlineStr">
        <is>
          <t>Critical</t>
        </is>
      </c>
      <c r="J16" s="52" t="inlineStr">
        <is>
          <t>REQ-SEC-02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</sheetData>
  <autoFilter ref="A4:N16"/>
  <mergeCells count="2">
    <mergeCell ref="A2:N2"/>
    <mergeCell ref="A1:N1"/>
  </mergeCells>
  <conditionalFormatting sqref="H5:H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6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6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6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Device &amp; Communication | Doc ID: DAA-QA-001 | Version: 1.0 | Status: Draft for QA Execution | Scope: Pengujian pendaftaran perangkat fisik, konfigurasi serial/TCP Modbus, timeout, dan auto-reconnect.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TC-DEV-001</t>
        </is>
      </c>
      <c r="B5" s="26" t="inlineStr">
        <is>
          <t>Device Setup</t>
        </is>
      </c>
      <c r="C5" s="6" t="inlineStr">
        <is>
          <t>Pendaftaran perangkat Modbus RTU baru (AQMS-01)</t>
        </is>
      </c>
      <c r="D5" s="6" t="inlineStr">
        <is>
          <t>Login sebagai Admin/Engineer pada menu Devices</t>
        </is>
      </c>
      <c r="E5" s="6" t="inlineStr">
        <is>
          <t>1. Klik tombol '+ Register Device'
2. Masukkan kode 'AQMS-01', tipe MODBUS_RTU, serial port '/dev/ttyUSB0', baud 9600, slave ID 1
3. Simpan</t>
        </is>
      </c>
      <c r="F5" s="6" t="inlineStr">
        <is>
          <t>Perangkat tersimpan di database dan muncul pada tabel daftar perangkat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REQ-DEV-01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TC-DEV-002</t>
        </is>
      </c>
      <c r="B6" s="31" t="inlineStr">
        <is>
          <t>Device Setup</t>
        </is>
      </c>
      <c r="C6" s="51" t="inlineStr">
        <is>
          <t>Pendaftaran perangkat Modbus TCP baru dengan IP Host dan Port</t>
        </is>
      </c>
      <c r="D6" s="51" t="inlineStr">
        <is>
          <t>Tersedia gateway Modbus TCP</t>
        </is>
      </c>
      <c r="E6" s="51" t="inlineStr">
        <is>
          <t>1. Daftarkan perangkat dengan tipe MODBUS_TCP, host '192.168.1.20', port 502, slave ID 1
2. Simpan</t>
        </is>
      </c>
      <c r="F6" s="51" t="inlineStr">
        <is>
          <t>Koneksi TCP terkonfigurasi dengan benar tanpa error validasi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REQ-DEV-02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TC-DEV-003</t>
        </is>
      </c>
      <c r="B7" s="26" t="inlineStr">
        <is>
          <t>Device Setup</t>
        </is>
      </c>
      <c r="C7" s="6" t="inlineStr">
        <is>
          <t>Pengeditan parameter konfigurasi perangkat terdaftar</t>
        </is>
      </c>
      <c r="D7" s="6" t="inlineStr">
        <is>
          <t>Perangkat AQMS-01 telah terdaftar</t>
        </is>
      </c>
      <c r="E7" s="6" t="inlineStr">
        <is>
          <t>1. Klik ikon Edit pada baris perangkat
2. Ubah polling interval dari 5000ms menjadi 3000ms
3. Simpan perubahan</t>
        </is>
      </c>
      <c r="F7" s="6" t="inlineStr">
        <is>
          <t>Perubahan tersimpan dan engine menerapkan interval polling baru tanpa restart</t>
        </is>
      </c>
      <c r="G7" s="6" t="inlineStr"/>
      <c r="H7" s="55" t="inlineStr">
        <is>
          <t>NOT TESTED</t>
        </is>
      </c>
      <c r="I7" s="25" t="inlineStr">
        <is>
          <t>High</t>
        </is>
      </c>
      <c r="J7" s="48" t="inlineStr">
        <is>
          <t>REQ-DEV-03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TC-DEV-004</t>
        </is>
      </c>
      <c r="B8" s="31" t="inlineStr">
        <is>
          <t>Device Setup</t>
        </is>
      </c>
      <c r="C8" s="51" t="inlineStr">
        <is>
          <t>Validasi integritas field wajib dan keunikan device_code</t>
        </is>
      </c>
      <c r="D8" s="51" t="inlineStr">
        <is>
          <t>Modal tambah perangkat terbuka</t>
        </is>
      </c>
      <c r="E8" s="51" t="inlineStr">
        <is>
          <t>1. Coba simpan perangkat dengan device_code yang sudah ada
2. Coba simpan tanpa mengisi nama perangkat</t>
        </is>
      </c>
      <c r="F8" s="51" t="inlineStr">
        <is>
          <t>Sistem menolak dan menampilkan pesan validasi spesifik</t>
        </is>
      </c>
      <c r="G8" s="51" t="inlineStr"/>
      <c r="H8" s="56" t="inlineStr">
        <is>
          <t>NOT TESTED</t>
        </is>
      </c>
      <c r="I8" s="30" t="inlineStr">
        <is>
          <t>Medium</t>
        </is>
      </c>
      <c r="J8" s="52" t="inlineStr">
        <is>
          <t>REQ-DEV-04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TC-DEV-005</t>
        </is>
      </c>
      <c r="B9" s="26" t="inlineStr">
        <is>
          <t>Modbus Serial</t>
        </is>
      </c>
      <c r="C9" s="6" t="inlineStr">
        <is>
          <t>Konfigurasi serial port, baud rate, parity, dan stop bits</t>
        </is>
      </c>
      <c r="D9" s="6" t="inlineStr">
        <is>
          <t>Perangkat terhubung via RS-485</t>
        </is>
      </c>
      <c r="E9" s="6" t="inlineStr">
        <is>
          <t>1. Atur port baud 9600, data bits 8, parity None (N), stop bits 1
2. Jalankan Test Read</t>
        </is>
      </c>
      <c r="F9" s="6" t="inlineStr">
        <is>
          <t>Driver serial membuka port dengan parameter framing UART yang sesuai</t>
        </is>
      </c>
      <c r="G9" s="6" t="inlineStr"/>
      <c r="H9" s="55" t="inlineStr">
        <is>
          <t>NOT TESTED</t>
        </is>
      </c>
      <c r="I9" s="25" t="inlineStr">
        <is>
          <t>Critical</t>
        </is>
      </c>
      <c r="J9" s="48" t="inlineStr">
        <is>
          <t>REQ-COMM-01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TC-DEV-006</t>
        </is>
      </c>
      <c r="B10" s="31" t="inlineStr">
        <is>
          <t>Modbus Addressing</t>
        </is>
      </c>
      <c r="C10" s="51" t="inlineStr">
        <is>
          <t>Validasi Slave ID valid (1 - 247) dan penolakan Slave ID invalid</t>
        </is>
      </c>
      <c r="D10" s="51" t="inlineStr">
        <is>
          <t>Modal konfigurasi perangkat</t>
        </is>
      </c>
      <c r="E10" s="51" t="inlineStr">
        <is>
          <t>1. Masukkan slave ID 0 atau 255
2. Masukkan slave ID 6</t>
        </is>
      </c>
      <c r="F10" s="51" t="inlineStr">
        <is>
          <t>Sistem membatasi input slave ID hanya pada rentang standar Modbus 1 - 247</t>
        </is>
      </c>
      <c r="G10" s="51" t="inlineStr"/>
      <c r="H10" s="56" t="inlineStr">
        <is>
          <t>NOT TESTED</t>
        </is>
      </c>
      <c r="I10" s="30" t="inlineStr">
        <is>
          <t>Medium</t>
        </is>
      </c>
      <c r="J10" s="52" t="inlineStr">
        <is>
          <t>REQ-COMM-02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TC-DEV-007</t>
        </is>
      </c>
      <c r="B11" s="26" t="inlineStr">
        <is>
          <t>Modbus Timing</t>
        </is>
      </c>
      <c r="C11" s="6" t="inlineStr">
        <is>
          <t>Uji timeout komunikasi dan retry policy</t>
        </is>
      </c>
      <c r="D11" s="6" t="inlineStr">
        <is>
          <t>Kabel sensor sengaja dilepas sementara</t>
        </is>
      </c>
      <c r="E11" s="6" t="inlineStr">
        <is>
          <t>1. Atur timeout 2000ms, retry count 3
2. Lakukan polling
3. Amati log waktu tunggu</t>
        </is>
      </c>
      <c r="F11" s="6" t="inlineStr">
        <is>
          <t>Engine mencoba ulang tepat 3 kali sebelum menandai request gagal setelah 6000ms total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REQ-COMM-03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TC-DEV-008</t>
        </is>
      </c>
      <c r="B12" s="31" t="inlineStr">
        <is>
          <t>Diagnostics</t>
        </is>
      </c>
      <c r="C12" s="51" t="inlineStr">
        <is>
          <t>Fungsi uji pembacaan register (Test Read) pada UI</t>
        </is>
      </c>
      <c r="D12" s="51" t="inlineStr">
        <is>
          <t>Perangkat sensor online terhubung</t>
        </is>
      </c>
      <c r="E12" s="51" t="inlineStr">
        <is>
          <t>1. Buka modal Test Read pada perangkat AQMS-01
2. Pilih register holding address 0, count 2
3. Klik 'Execute Test Read'</t>
        </is>
      </c>
      <c r="F12" s="51" t="inlineStr">
        <is>
          <t>Modal menampilkan respons raw hex dan nilai hasil konversi secara instan</t>
        </is>
      </c>
      <c r="G12" s="51" t="inlineStr"/>
      <c r="H12" s="56" t="inlineStr">
        <is>
          <t>NOT TESTED</t>
        </is>
      </c>
      <c r="I12" s="30" t="inlineStr">
        <is>
          <t>High</t>
        </is>
      </c>
      <c r="J12" s="52" t="inlineStr">
        <is>
          <t>REQ-DEV-05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TC-DEV-009</t>
        </is>
      </c>
      <c r="B13" s="26" t="inlineStr">
        <is>
          <t>Status Integrity</t>
        </is>
      </c>
      <c r="C13" s="6" t="inlineStr">
        <is>
          <t>Konsistensi status ONLINE saat polling Modbus sukses</t>
        </is>
      </c>
      <c r="D13" s="6" t="inlineStr">
        <is>
          <t>Sensor merespons polling secara normal</t>
        </is>
      </c>
      <c r="E13" s="6" t="inlineStr">
        <is>
          <t>1. Pantau status perangkat pada menu Devices selama 60 detik</t>
        </is>
      </c>
      <c r="F13" s="6" t="inlineStr">
        <is>
          <t>Status perangkat konsisten ONLINE (Hijau) dengan latency_ms tercatat realistis</t>
        </is>
      </c>
      <c r="G13" s="6" t="inlineStr"/>
      <c r="H13" s="55" t="inlineStr">
        <is>
          <t>NOT TESTED</t>
        </is>
      </c>
      <c r="I13" s="25" t="inlineStr">
        <is>
          <t>Critical</t>
        </is>
      </c>
      <c r="J13" s="48" t="inlineStr">
        <is>
          <t>REQ-DEV-06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TC-DEV-010</t>
        </is>
      </c>
      <c r="B14" s="31" t="inlineStr">
        <is>
          <t>Status Integrity</t>
        </is>
      </c>
      <c r="C14" s="51" t="inlineStr">
        <is>
          <t>Deteksi otomatis status OFFLINE saat komunikasi terputus</t>
        </is>
      </c>
      <c r="D14" s="51" t="inlineStr">
        <is>
          <t>Sensor dalam keadaan online</t>
        </is>
      </c>
      <c r="E14" s="51" t="inlineStr">
        <is>
          <t>1. Putus koneksi kabel RS-485
2. Amati status perangkat pada menu Devices</t>
        </is>
      </c>
      <c r="F14" s="51" t="inlineStr">
        <is>
          <t>Status perangkat berubah menjadi OFFLINE (Merah) dalam waktu &lt; 15 detik</t>
        </is>
      </c>
      <c r="G14" s="51" t="inlineStr"/>
      <c r="H14" s="56" t="inlineStr">
        <is>
          <t>NOT TESTED</t>
        </is>
      </c>
      <c r="I14" s="30" t="inlineStr">
        <is>
          <t>Critical</t>
        </is>
      </c>
      <c r="J14" s="52" t="inlineStr">
        <is>
          <t>REQ-DEV-07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TC-DEV-011</t>
        </is>
      </c>
      <c r="B15" s="26" t="inlineStr">
        <is>
          <t>Hardware Resilience</t>
        </is>
      </c>
      <c r="C15" s="6" t="inlineStr">
        <is>
          <t>Penanganan serial port busy / resource lock</t>
        </is>
      </c>
      <c r="D15" s="6" t="inlineStr">
        <is>
          <t>Port serial /dev/ttyUSB0 sedang diakses oleh proses eksternal</t>
        </is>
      </c>
      <c r="E15" s="6" t="inlineStr">
        <is>
          <t>1. Buka port menggunakan serial terminal lain
2. Jalankan polling datalogger</t>
        </is>
      </c>
      <c r="F15" s="6" t="inlineStr">
        <is>
          <t>Datalogger mencatat error 'serial port busy' secara elegan tanpa crash dan mencoba reconnect</t>
        </is>
      </c>
      <c r="G15" s="6" t="inlineStr"/>
      <c r="H15" s="55" t="inlineStr">
        <is>
          <t>NOT TESTED</t>
        </is>
      </c>
      <c r="I15" s="25" t="inlineStr">
        <is>
          <t>High</t>
        </is>
      </c>
      <c r="J15" s="48" t="inlineStr">
        <is>
          <t>REQ-COMM-04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TC-DEV-012</t>
        </is>
      </c>
      <c r="B16" s="31" t="inlineStr">
        <is>
          <t>Hardware Resilience</t>
        </is>
      </c>
      <c r="C16" s="51" t="inlineStr">
        <is>
          <t>Auto-reconnect setelah converter USB-Serial dicabut dan dipasang kembali</t>
        </is>
      </c>
      <c r="D16" s="51" t="inlineStr">
        <is>
          <t>Polling Modbus RTU sedang berjalan normal</t>
        </is>
      </c>
      <c r="E16" s="51" t="inlineStr">
        <is>
          <t>1. Cabut kabel USB converter dari host server
2. Tunggu 10 detik
3. Pasang kembali ke port USB yang sama</t>
        </is>
      </c>
      <c r="F16" s="51" t="inlineStr">
        <is>
          <t>Engine mendeteksi re-attach port serial dan secara otomatis memulihkan polling ke status ONLINE</t>
        </is>
      </c>
      <c r="G16" s="51" t="inlineStr"/>
      <c r="H16" s="56" t="inlineStr">
        <is>
          <t>NOT TESTED</t>
        </is>
      </c>
      <c r="I16" s="30" t="inlineStr">
        <is>
          <t>Critical</t>
        </is>
      </c>
      <c r="J16" s="52" t="inlineStr">
        <is>
          <t>REQ-COMM-05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  <row r="17" ht="48" customHeight="1">
      <c r="A17" s="25" t="inlineStr">
        <is>
          <t>TC-DEV-013</t>
        </is>
      </c>
      <c r="B17" s="26" t="inlineStr">
        <is>
          <t>Diagnostics</t>
        </is>
      </c>
      <c r="C17" s="6" t="inlineStr">
        <is>
          <t>Pencatatan error komunikasi Modbus pada communication logs</t>
        </is>
      </c>
      <c r="D17" s="6" t="inlineStr">
        <is>
          <t>Terjadi error timeout atau CRC mismatch</t>
        </is>
      </c>
      <c r="E17" s="6" t="inlineStr">
        <is>
          <t>1. Periksa menu /#/system/logs tab Communication Logs</t>
        </is>
      </c>
      <c r="F17" s="6" t="inlineStr">
        <is>
          <t>Setiap frame gagal tercatat dengan slave ID, function code, jenis error, dan timestamp</t>
        </is>
      </c>
      <c r="G17" s="6" t="inlineStr"/>
      <c r="H17" s="55" t="inlineStr">
        <is>
          <t>NOT TESTED</t>
        </is>
      </c>
      <c r="I17" s="25" t="inlineStr">
        <is>
          <t>Medium</t>
        </is>
      </c>
      <c r="J17" s="48" t="inlineStr">
        <is>
          <t>REQ-LOG-02</t>
        </is>
      </c>
      <c r="K17" s="26" t="inlineStr"/>
      <c r="L17" s="48" t="inlineStr">
        <is>
          <t>[Tester]</t>
        </is>
      </c>
      <c r="M17" s="48" t="inlineStr">
        <is>
          <t>[Date]</t>
        </is>
      </c>
      <c r="N17" s="6" t="inlineStr"/>
    </row>
    <row r="18" ht="48" customHeight="1">
      <c r="A18" s="30" t="inlineStr">
        <is>
          <t>TC-DEV-014</t>
        </is>
      </c>
      <c r="B18" s="31" t="inlineStr">
        <is>
          <t>Persistence</t>
        </is>
      </c>
      <c r="C18" s="51" t="inlineStr">
        <is>
          <t>Persistensi konfigurasi perangkat setelah reboot / restart service</t>
        </is>
      </c>
      <c r="D18" s="51" t="inlineStr">
        <is>
          <t>Perangkat AQMS-01 dan AQMS-02 terdaftar</t>
        </is>
      </c>
      <c r="E18" s="51" t="inlineStr">
        <is>
          <t>1. Lakukan restart service datalogger
2. Buka menu Devices</t>
        </is>
      </c>
      <c r="F18" s="51" t="inlineStr">
        <is>
          <t>Seluruh daftar perangkat dan konfigurasi komunikasi termuat utuh dari database</t>
        </is>
      </c>
      <c r="G18" s="51" t="inlineStr"/>
      <c r="H18" s="56" t="inlineStr">
        <is>
          <t>NOT TESTED</t>
        </is>
      </c>
      <c r="I18" s="30" t="inlineStr">
        <is>
          <t>Critical</t>
        </is>
      </c>
      <c r="J18" s="52" t="inlineStr">
        <is>
          <t>REQ-DEV-08</t>
        </is>
      </c>
      <c r="K18" s="31" t="inlineStr"/>
      <c r="L18" s="52" t="inlineStr">
        <is>
          <t>[Tester]</t>
        </is>
      </c>
      <c r="M18" s="52" t="inlineStr">
        <is>
          <t>[Date]</t>
        </is>
      </c>
      <c r="N18" s="51" t="inlineStr"/>
    </row>
  </sheetData>
  <autoFilter ref="A4:N18"/>
  <mergeCells count="2">
    <mergeCell ref="A2:N2"/>
    <mergeCell ref="A1:N1"/>
  </mergeCells>
  <conditionalFormatting sqref="H5:H1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8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8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8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Parameter &amp; Decoding | Doc ID: DAA-QA-001 | Version: 1.0 | Status: Draft for QA Execution | Scope: Pengujian decoding register sensor, tipe data IEEE-754 Float32, endianness, kalibrasi, dan formula.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TC-PAR-001</t>
        </is>
      </c>
      <c r="B5" s="26" t="inlineStr">
        <is>
          <t>Parameter Setup</t>
        </is>
      </c>
      <c r="C5" s="6" t="inlineStr">
        <is>
          <t>Penambahan parameter baru pada perangkat terdaftar</t>
        </is>
      </c>
      <c r="D5" s="6" t="inlineStr">
        <is>
          <t>Perangkat AQMS-02 telah aktif</t>
        </is>
      </c>
      <c r="E5" s="6" t="inlineStr">
        <is>
          <t>1. Klik 'Add Parameter' pada detail perangkat AQMS-02
2. Daftarkan kode 'co', nama 'Karbon Monoksida', unit 'ug/m3'
3. Simpan</t>
        </is>
      </c>
      <c r="F5" s="6" t="inlineStr">
        <is>
          <t>Parameter terdaftar dan langsung masuk ke daftar polling perangkat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REQ-PAR-01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TC-PAR-002</t>
        </is>
      </c>
      <c r="B6" s="31" t="inlineStr">
        <is>
          <t>Parameter Setup</t>
        </is>
      </c>
      <c r="C6" s="51" t="inlineStr">
        <is>
          <t>Pengeditan batas ambang warning dan critical parameter</t>
        </is>
      </c>
      <c r="D6" s="51" t="inlineStr">
        <is>
          <t>Parameter PM 2.5 telah terdaftar</t>
        </is>
      </c>
      <c r="E6" s="51" t="inlineStr">
        <is>
          <t>1. Ubah warning_low=1, warning_high=150, critical_high=250
2. Simpan</t>
        </is>
      </c>
      <c r="F6" s="51" t="inlineStr">
        <is>
          <t>Batas ambang baru tersimpan dan mesin evaluasi alarm menggunakan batas baru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REQ-PAR-02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TC-PAR-003</t>
        </is>
      </c>
      <c r="B7" s="26" t="inlineStr">
        <is>
          <t>Register Config</t>
        </is>
      </c>
      <c r="C7" s="6" t="inlineStr">
        <is>
          <t>Validasi register address dan register count</t>
        </is>
      </c>
      <c r="D7" s="6" t="inlineStr">
        <is>
          <t>Modal konfigurasi parameter</t>
        </is>
      </c>
      <c r="E7" s="6" t="inlineStr">
        <is>
          <t>1. Masukkan register address negatif atau &gt; 65535
2. Atur register count di luar 1 atau 2 untuk Float32</t>
        </is>
      </c>
      <c r="F7" s="6" t="inlineStr">
        <is>
          <t>Form memvalidasi dan membatasi masukan register sesuai standar spesifikasi Modbus</t>
        </is>
      </c>
      <c r="G7" s="6" t="inlineStr"/>
      <c r="H7" s="55" t="inlineStr">
        <is>
          <t>NOT TESTED</t>
        </is>
      </c>
      <c r="I7" s="25" t="inlineStr">
        <is>
          <t>Medium</t>
        </is>
      </c>
      <c r="J7" s="48" t="inlineStr">
        <is>
          <t>REQ-PAR-03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TC-PAR-004</t>
        </is>
      </c>
      <c r="B8" s="31" t="inlineStr">
        <is>
          <t>Data Decoding</t>
        </is>
      </c>
      <c r="C8" s="51" t="inlineStr">
        <is>
          <t>Decoding Float32 IEEE-754 dengan Word Order CDAB (Mid-Little Endian)</t>
        </is>
      </c>
      <c r="D8" s="51" t="inlineStr">
        <is>
          <t>Sensor gas menggunakan format Float32 byte swap CDAB</t>
        </is>
      </c>
      <c r="E8" s="51" t="inlineStr">
        <is>
          <t>1. Kirim raw hex '00 00 42 80' (nilai desimal 64.0)
2. Periksa hasil decoding</t>
        </is>
      </c>
      <c r="F8" s="51" t="inlineStr">
        <is>
          <t>Aplikasi mengonversi byte register menjadi angka desimal tepat 64.00</t>
        </is>
      </c>
      <c r="G8" s="51" t="inlineStr"/>
      <c r="H8" s="56" t="inlineStr">
        <is>
          <t>NOT TESTED</t>
        </is>
      </c>
      <c r="I8" s="30" t="inlineStr">
        <is>
          <t>Critical</t>
        </is>
      </c>
      <c r="J8" s="52" t="inlineStr">
        <is>
          <t>REQ-DEC-01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TC-PAR-005</t>
        </is>
      </c>
      <c r="B9" s="26" t="inlineStr">
        <is>
          <t>Data Decoding</t>
        </is>
      </c>
      <c r="C9" s="6" t="inlineStr">
        <is>
          <t>Decoding Float32 IEEE-754 dengan Byte Order ABCD (Big Endian)</t>
        </is>
      </c>
      <c r="D9" s="6" t="inlineStr">
        <is>
          <t>Sensor meteorologi menggunakan format ABCD</t>
        </is>
      </c>
      <c r="E9" s="6" t="inlineStr">
        <is>
          <t>1. Kirim raw hex '42 80 00 00'
2. Periksa hasil decoding</t>
        </is>
      </c>
      <c r="F9" s="6" t="inlineStr">
        <is>
          <t>Aplikasi mengonversi menjadi angka desimal tepat 64.00</t>
        </is>
      </c>
      <c r="G9" s="6" t="inlineStr"/>
      <c r="H9" s="55" t="inlineStr">
        <is>
          <t>NOT TESTED</t>
        </is>
      </c>
      <c r="I9" s="25" t="inlineStr">
        <is>
          <t>Critical</t>
        </is>
      </c>
      <c r="J9" s="48" t="inlineStr">
        <is>
          <t>REQ-DEC-02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TC-PAR-006</t>
        </is>
      </c>
      <c r="B10" s="31" t="inlineStr">
        <is>
          <t>Data Decoding</t>
        </is>
      </c>
      <c r="C10" s="51" t="inlineStr">
        <is>
          <t>Decoding integer INT16 Signed dan UINT16 Unsigned</t>
        </is>
      </c>
      <c r="D10" s="51" t="inlineStr">
        <is>
          <t>Sensor mengirimkan data suhu dalam 1 register bertipe INT16</t>
        </is>
      </c>
      <c r="E10" s="51" t="inlineStr">
        <is>
          <t>1. Kirim raw register 0xFF9C (-100 desimal)
2. Terapkan scale 0.1</t>
        </is>
      </c>
      <c r="F10" s="51" t="inlineStr">
        <is>
          <t>Nilai terdekode dengan benar menjadi -10.0 °C</t>
        </is>
      </c>
      <c r="G10" s="51" t="inlineStr"/>
      <c r="H10" s="56" t="inlineStr">
        <is>
          <t>NOT TESTED</t>
        </is>
      </c>
      <c r="I10" s="30" t="inlineStr">
        <is>
          <t>High</t>
        </is>
      </c>
      <c r="J10" s="52" t="inlineStr">
        <is>
          <t>REQ-DEC-03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TC-PAR-007</t>
        </is>
      </c>
      <c r="B11" s="26" t="inlineStr">
        <is>
          <t>Data Scaling</t>
        </is>
      </c>
      <c r="C11" s="6" t="inlineStr">
        <is>
          <t>Penerapan faktor skala (Scale Factor) pada nilai register</t>
        </is>
      </c>
      <c r="D11" s="6" t="inlineStr">
        <is>
          <t>Register membaca nilai mentah integer 2525</t>
        </is>
      </c>
      <c r="E11" s="6" t="inlineStr">
        <is>
          <t>1. Atur scale_factor = 0.01 pada parameter Temperature
2. Evaluasi hasil</t>
        </is>
      </c>
      <c r="F11" s="6" t="inlineStr">
        <is>
          <t>Nilai yang dihasilkan tepat 25.25 °C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REQ-DEC-04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TC-PAR-008</t>
        </is>
      </c>
      <c r="B12" s="31" t="inlineStr">
        <is>
          <t>Data Calibration</t>
        </is>
      </c>
      <c r="C12" s="51" t="inlineStr">
        <is>
          <t>Penerapan nilai Offset kalibrasi matematika</t>
        </is>
      </c>
      <c r="D12" s="51" t="inlineStr">
        <is>
          <t>Sensor memiliki deviasi baseline +1.5</t>
        </is>
      </c>
      <c r="E12" s="51" t="inlineStr">
        <is>
          <t>1. Atur offset = -1.5 pada konfigurasi parameter
2. Kirim nilai mentah 10.0</t>
        </is>
      </c>
      <c r="F12" s="51" t="inlineStr">
        <is>
          <t>Nilai terproses akhir yang tersimpan adalah 8.5</t>
        </is>
      </c>
      <c r="G12" s="51" t="inlineStr"/>
      <c r="H12" s="56" t="inlineStr">
        <is>
          <t>NOT TESTED</t>
        </is>
      </c>
      <c r="I12" s="30" t="inlineStr">
        <is>
          <t>High</t>
        </is>
      </c>
      <c r="J12" s="52" t="inlineStr">
        <is>
          <t>REQ-DEC-05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TC-PAR-009</t>
        </is>
      </c>
      <c r="B13" s="26" t="inlineStr">
        <is>
          <t>Data Formula</t>
        </is>
      </c>
      <c r="C13" s="6" t="inlineStr">
        <is>
          <t>Penerapan formula kustom (Formula Evaluation Engine)</t>
        </is>
      </c>
      <c r="D13" s="6" t="inlineStr">
        <is>
          <t>Parameter memerlukan konversi non-linear: '(value * 1.05) + 2.0'</t>
        </is>
      </c>
      <c r="E13" s="6" t="inlineStr">
        <is>
          <t>1. Aktifkan formula pada parameter
2. Masukkan ekspresi formula matematika
3. Simulasikan input nilai 100</t>
        </is>
      </c>
      <c r="F13" s="6" t="inlineStr">
        <is>
          <t>Hasil evaluasi formula menghasilkan nilai tepat 107.0</t>
        </is>
      </c>
      <c r="G13" s="6" t="inlineStr"/>
      <c r="H13" s="55" t="inlineStr">
        <is>
          <t>NOT TESTED</t>
        </is>
      </c>
      <c r="I13" s="25" t="inlineStr">
        <is>
          <t>Medium</t>
        </is>
      </c>
      <c r="J13" s="48" t="inlineStr">
        <is>
          <t>REQ-DEC-06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TC-PAR-010</t>
        </is>
      </c>
      <c r="B14" s="31" t="inlineStr">
        <is>
          <t>Engineering Units</t>
        </is>
      </c>
      <c r="C14" s="51" t="inlineStr">
        <is>
          <t>Verifikasi unit pengukuran resmi sesuai standar lingkungan</t>
        </is>
      </c>
      <c r="D14" s="51" t="inlineStr">
        <is>
          <t>Tabel parameter stasiun</t>
        </is>
      </c>
      <c r="E14" s="51" t="inlineStr">
        <is>
          <t>1. Periksa unit untuk PM2.5, PM10, SO2, NO2, CO, O3, HC, Temp, Hum, Press, Wind</t>
        </is>
      </c>
      <c r="F14" s="51" t="inlineStr">
        <is>
          <t>Seluruh parameter memiliki label unit resmi (ug/m3, C, %, hPa, m/s, deg)</t>
        </is>
      </c>
      <c r="G14" s="51" t="inlineStr"/>
      <c r="H14" s="56" t="inlineStr">
        <is>
          <t>NOT TESTED</t>
        </is>
      </c>
      <c r="I14" s="30" t="inlineStr">
        <is>
          <t>Medium</t>
        </is>
      </c>
      <c r="J14" s="52" t="inlineStr">
        <is>
          <t>REQ-PAR-04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TC-PAR-011</t>
        </is>
      </c>
      <c r="B15" s="26" t="inlineStr">
        <is>
          <t>Equivalence Check</t>
        </is>
      </c>
      <c r="C15" s="6" t="inlineStr">
        <is>
          <t>Komparasi hasil decoding dengan nilai referensi simulator</t>
        </is>
      </c>
      <c r="D15" s="6" t="inlineStr">
        <is>
          <t>Modbus Slave Simulator mengirim paket data terkalibrasi</t>
        </is>
      </c>
      <c r="E15" s="6" t="inlineStr">
        <is>
          <t>1. Bandingkan 14 nilai parameter di simulator dengan nilai di menu Live Telemetry</t>
        </is>
      </c>
      <c r="F15" s="6" t="inlineStr">
        <is>
          <t>Delta perbedaan antara nilai referensi dan nilai aplikasi adalah 0.00 (100% presisi)</t>
        </is>
      </c>
      <c r="G15" s="6" t="inlineStr"/>
      <c r="H15" s="55" t="inlineStr">
        <is>
          <t>NOT TESTED</t>
        </is>
      </c>
      <c r="I15" s="25" t="inlineStr">
        <is>
          <t>Critical</t>
        </is>
      </c>
      <c r="J15" s="48" t="inlineStr">
        <is>
          <t>REQ-DEC-07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TC-PAR-012</t>
        </is>
      </c>
      <c r="B16" s="31" t="inlineStr">
        <is>
          <t>Data Sanitation</t>
        </is>
      </c>
      <c r="C16" s="51" t="inlineStr">
        <is>
          <t>Penolakan nilai matematika invalid (NaN dan Infinity)</t>
        </is>
      </c>
      <c r="D16" s="51" t="inlineStr">
        <is>
          <t>Kondisi pembagian dengan nol atau ekspresi formula error</t>
        </is>
      </c>
      <c r="E16" s="51" t="inlineStr">
        <is>
          <t>1. Simulasikan formula 'value / 0'
2. Amati penanganan nilai</t>
        </is>
      </c>
      <c r="F16" s="51" t="inlineStr">
        <is>
          <t>Sistem menandai kualitas sebagai BAD dan tidak menyimpan nilai NaN ke database</t>
        </is>
      </c>
      <c r="G16" s="51" t="inlineStr"/>
      <c r="H16" s="56" t="inlineStr">
        <is>
          <t>NOT TESTED</t>
        </is>
      </c>
      <c r="I16" s="30" t="inlineStr">
        <is>
          <t>Critical</t>
        </is>
      </c>
      <c r="J16" s="52" t="inlineStr">
        <is>
          <t>REQ-DEC-08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  <row r="17" ht="48" customHeight="1">
      <c r="A17" s="25" t="inlineStr">
        <is>
          <t>TC-PAR-013</t>
        </is>
      </c>
      <c r="B17" s="26" t="inlineStr">
        <is>
          <t>Hold Last Value</t>
        </is>
      </c>
      <c r="C17" s="6" t="inlineStr">
        <is>
          <t>Fitur penahanan nilai saat sensor drop sesaat (Hold Last Value)</t>
        </is>
      </c>
      <c r="D17" s="6" t="inlineStr">
        <is>
          <t>Fitur hold_last_value_enabled = true dengan timeout 120s</t>
        </is>
      </c>
      <c r="E17" s="6" t="inlineStr">
        <is>
          <t>1. Putus koneksi sensor selama 30 detik
2. Periksa nilai display</t>
        </is>
      </c>
      <c r="F17" s="6" t="inlineStr">
        <is>
          <t>Aplikasi mempertahankan nilai terakhir valid dengan penanda status 'HELD'</t>
        </is>
      </c>
      <c r="G17" s="6" t="inlineStr"/>
      <c r="H17" s="55" t="inlineStr">
        <is>
          <t>NOT TESTED</t>
        </is>
      </c>
      <c r="I17" s="25" t="inlineStr">
        <is>
          <t>Medium</t>
        </is>
      </c>
      <c r="J17" s="48" t="inlineStr">
        <is>
          <t>REQ-PAR-05</t>
        </is>
      </c>
      <c r="K17" s="26" t="inlineStr"/>
      <c r="L17" s="48" t="inlineStr">
        <is>
          <t>[Tester]</t>
        </is>
      </c>
      <c r="M17" s="48" t="inlineStr">
        <is>
          <t>[Date]</t>
        </is>
      </c>
      <c r="N17" s="6" t="inlineStr"/>
    </row>
    <row r="18" ht="48" customHeight="1">
      <c r="A18" s="30" t="inlineStr">
        <is>
          <t>TC-PAR-014</t>
        </is>
      </c>
      <c r="B18" s="31" t="inlineStr">
        <is>
          <t>Dynamic Reload</t>
        </is>
      </c>
      <c r="C18" s="51" t="inlineStr">
        <is>
          <t>Penerapan dinamis perubahan konfigurasi parameter</t>
        </is>
      </c>
      <c r="D18" s="51" t="inlineStr">
        <is>
          <t>Engine sedang melakukan polling aktif</t>
        </is>
      </c>
      <c r="E18" s="51" t="inlineStr">
        <is>
          <t>1. Ubah nama parameter dan batas ambang via UI
2. Pantau siklus polling berikutnya</t>
        </is>
      </c>
      <c r="F18" s="51" t="inlineStr">
        <is>
          <t>Perubahan langsung diterapkan pada siklus pembacaan berikutnya tanpa restart daemon</t>
        </is>
      </c>
      <c r="G18" s="51" t="inlineStr"/>
      <c r="H18" s="56" t="inlineStr">
        <is>
          <t>NOT TESTED</t>
        </is>
      </c>
      <c r="I18" s="30" t="inlineStr">
        <is>
          <t>High</t>
        </is>
      </c>
      <c r="J18" s="52" t="inlineStr">
        <is>
          <t>REQ-PAR-06</t>
        </is>
      </c>
      <c r="K18" s="31" t="inlineStr"/>
      <c r="L18" s="52" t="inlineStr">
        <is>
          <t>[Tester]</t>
        </is>
      </c>
      <c r="M18" s="52" t="inlineStr">
        <is>
          <t>[Date]</t>
        </is>
      </c>
      <c r="N18" s="51" t="inlineStr"/>
    </row>
  </sheetData>
  <autoFilter ref="A4:N18"/>
  <mergeCells count="2">
    <mergeCell ref="A2:N2"/>
    <mergeCell ref="A1:N1"/>
  </mergeCells>
  <conditionalFormatting sqref="H5:H1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8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8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8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Polling Plan &amp; Batch Read | Doc ID: DAA-QA-001 | Version: 1.0 | Status: Draft for QA Execution | Scope: Pengujian optimasi request Modbus Batch Read, register grouping, circuit breaker, dan fallback.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TC-POLL-001</t>
        </is>
      </c>
      <c r="B5" s="26" t="inlineStr">
        <is>
          <t>Batch Configuration</t>
        </is>
      </c>
      <c r="C5" s="6" t="inlineStr">
        <is>
          <t>Verifikasi Batch Read default OFF untuk perangkat baru</t>
        </is>
      </c>
      <c r="D5" s="6" t="inlineStr">
        <is>
          <t>Perangkat baru didaftarkan</t>
        </is>
      </c>
      <c r="E5" s="6" t="inlineStr">
        <is>
          <t>1. Periksa field batch_read_enabled pada konfigurasi perangkat</t>
        </is>
      </c>
      <c r="F5" s="6" t="inlineStr">
        <is>
          <t>Nilai default adalah false (OFF) untuk mencegah tabrakan pada instrumen sensitif</t>
        </is>
      </c>
      <c r="G5" s="6" t="inlineStr"/>
      <c r="H5" s="55" t="inlineStr">
        <is>
          <t>NOT TESTED</t>
        </is>
      </c>
      <c r="I5" s="25" t="inlineStr">
        <is>
          <t>High</t>
        </is>
      </c>
      <c r="J5" s="48" t="inlineStr">
        <is>
          <t>REQ-BATCH-01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TC-POLL-002</t>
        </is>
      </c>
      <c r="B6" s="31" t="inlineStr">
        <is>
          <t>Batch Configuration</t>
        </is>
      </c>
      <c r="C6" s="51" t="inlineStr">
        <is>
          <t>Konfigurasi perangkat lama tidak berubah secara tidak sengaja</t>
        </is>
      </c>
      <c r="D6" s="51" t="inlineStr">
        <is>
          <t>Database berisi konfigurasi perangkat eksisting</t>
        </is>
      </c>
      <c r="E6" s="51" t="inlineStr">
        <is>
          <t>1. Jalankan migrasi
2. Periksa konfigurasi perangkat eksisting</t>
        </is>
      </c>
      <c r="F6" s="51" t="inlineStr">
        <is>
          <t>Nilai mode baca single read pada perangkat lama tetap terjaga 100%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REQ-BATCH-02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TC-POLL-003</t>
        </is>
      </c>
      <c r="B7" s="26" t="inlineStr">
        <is>
          <t>Batch Planner</t>
        </is>
      </c>
      <c r="C7" s="6" t="inlineStr">
        <is>
          <t>Deteksi dan komputasi otomatis pada Mode AUTO</t>
        </is>
      </c>
      <c r="D7" s="6" t="inlineStr">
        <is>
          <t>batch_mode diset ke AUTO</t>
        </is>
      </c>
      <c r="E7" s="6" t="inlineStr">
        <is>
          <t>1. Buat 4 parameter pada register berurutan (address 10, 12, 14, 16)
2. Evaluasi Polling Plan</t>
        </is>
      </c>
      <c r="F7" s="6" t="inlineStr">
        <is>
          <t>Engine otomatis menggabungkan ke dalam 1 request batch read (start=10, count=8)</t>
        </is>
      </c>
      <c r="G7" s="6" t="inlineStr"/>
      <c r="H7" s="55" t="inlineStr">
        <is>
          <t>NOT TESTED</t>
        </is>
      </c>
      <c r="I7" s="25" t="inlineStr">
        <is>
          <t>High</t>
        </is>
      </c>
      <c r="J7" s="48" t="inlineStr">
        <is>
          <t>REQ-BATCH-03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TC-POLL-004</t>
        </is>
      </c>
      <c r="B8" s="31" t="inlineStr">
        <is>
          <t>Batch Planner</t>
        </is>
      </c>
      <c r="C8" s="51" t="inlineStr">
        <is>
          <t>Mode SINGLE tetap mempertahankan request per-register</t>
        </is>
      </c>
      <c r="D8" s="51" t="inlineStr">
        <is>
          <t>batch_mode diset ke SINGLE</t>
        </is>
      </c>
      <c r="E8" s="51" t="inlineStr">
        <is>
          <t>1. Daftarkan beberapa parameter
2. Pantau frame komunikasi di Live Comm</t>
        </is>
      </c>
      <c r="F8" s="51" t="inlineStr">
        <is>
          <t>Setiap parameter dibaca menggunakan request Modbus terpisah secara sekuensial</t>
        </is>
      </c>
      <c r="G8" s="51" t="inlineStr"/>
      <c r="H8" s="56" t="inlineStr">
        <is>
          <t>NOT TESTED</t>
        </is>
      </c>
      <c r="I8" s="30" t="inlineStr">
        <is>
          <t>High</t>
        </is>
      </c>
      <c r="J8" s="52" t="inlineStr">
        <is>
          <t>REQ-BATCH-04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TC-POLL-005</t>
        </is>
      </c>
      <c r="B9" s="26" t="inlineStr">
        <is>
          <t>Batch Planner</t>
        </is>
      </c>
      <c r="C9" s="6" t="inlineStr">
        <is>
          <t>Pengelompokan register berurutan ke dalam 1 request Modbus</t>
        </is>
      </c>
      <c r="D9" s="6" t="inlineStr">
        <is>
          <t>Parameter PM10 (reg 22) dan O3 (reg 38)</t>
        </is>
      </c>
      <c r="E9" s="6" t="inlineStr">
        <is>
          <t>1. Aktifkan batch read
2. Amati frame request TX</t>
        </is>
      </c>
      <c r="F9" s="6" t="inlineStr">
        <is>
          <t>Engine mematuhi aturan pengelompokan holding register Function Code 03</t>
        </is>
      </c>
      <c r="G9" s="6" t="inlineStr"/>
      <c r="H9" s="55" t="inlineStr">
        <is>
          <t>NOT TESTED</t>
        </is>
      </c>
      <c r="I9" s="25" t="inlineStr">
        <is>
          <t>Critical</t>
        </is>
      </c>
      <c r="J9" s="48" t="inlineStr">
        <is>
          <t>REQ-BATCH-05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TC-POLL-006</t>
        </is>
      </c>
      <c r="B10" s="31" t="inlineStr">
        <is>
          <t>Batch Constraints</t>
        </is>
      </c>
      <c r="C10" s="51" t="inlineStr">
        <is>
          <t>Kepatuhan batas maximum register gap (max_register_gap)</t>
        </is>
      </c>
      <c r="D10" s="51" t="inlineStr">
        <is>
          <t>max_register_gap dikonfigurasi = 5 register</t>
        </is>
      </c>
      <c r="E10" s="51" t="inlineStr">
        <is>
          <t>1. Parameter A pada reg 10 (count 2), Parameter B pada reg 20 (gap = 8)
2. Evaluasi plan</t>
        </is>
      </c>
      <c r="F10" s="51" t="inlineStr">
        <is>
          <t>Engine memisahkan menjadi 2 batch berbeda karena gap (8) melebihi batas (5)</t>
        </is>
      </c>
      <c r="G10" s="51" t="inlineStr"/>
      <c r="H10" s="56" t="inlineStr">
        <is>
          <t>NOT TESTED</t>
        </is>
      </c>
      <c r="I10" s="30" t="inlineStr">
        <is>
          <t>High</t>
        </is>
      </c>
      <c r="J10" s="52" t="inlineStr">
        <is>
          <t>REQ-BATCH-06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TC-POLL-007</t>
        </is>
      </c>
      <c r="B11" s="26" t="inlineStr">
        <is>
          <t>Batch Constraints</t>
        </is>
      </c>
      <c r="C11" s="6" t="inlineStr">
        <is>
          <t>Kepatuhan batas maximum batch registers (max_batch_registers)</t>
        </is>
      </c>
      <c r="D11" s="6" t="inlineStr">
        <is>
          <t>max_batch_registers dikonfigurasi = 20 register</t>
        </is>
      </c>
      <c r="E11" s="6" t="inlineStr">
        <is>
          <t>1. Daftarkan 15 parameter Float32 (total 30 register berurutan)
2. Evaluasi plan</t>
        </is>
      </c>
      <c r="F11" s="6" t="inlineStr">
        <is>
          <t>Engine memecah request menjadi 2 batch (batch 1 = 20 register, batch 2 = 10 register)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REQ-BATCH-07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TC-POLL-008</t>
        </is>
      </c>
      <c r="B12" s="31" t="inlineStr">
        <is>
          <t>Batch Isolation</t>
        </is>
      </c>
      <c r="C12" s="51" t="inlineStr">
        <is>
          <t>Isolasi Slave ID yang berbeda dalam batch terpisah</t>
        </is>
      </c>
      <c r="D12" s="51" t="inlineStr">
        <is>
          <t>Parameter 1 pada Slave ID 1, Parameter 2 pada Slave ID 2</t>
        </is>
      </c>
      <c r="E12" s="51" t="inlineStr">
        <is>
          <t>1. Aktifkan batch read</t>
        </is>
      </c>
      <c r="F12" s="51" t="inlineStr">
        <is>
          <t>Engine tidak pernah menggabungkan parameter dengan Slave ID berbeda ke dalam 1 request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REQ-BATCH-08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TC-POLL-009</t>
        </is>
      </c>
      <c r="B13" s="26" t="inlineStr">
        <is>
          <t>Batch Isolation</t>
        </is>
      </c>
      <c r="C13" s="6" t="inlineStr">
        <is>
          <t>Isolasi Function Code berbeda (Holding 03 vs Input 04)</t>
        </is>
      </c>
      <c r="D13" s="6" t="inlineStr">
        <is>
          <t>Parameter 1 pada Holding Register, Parameter 2 pada Input Register</t>
        </is>
      </c>
      <c r="E13" s="6" t="inlineStr">
        <is>
          <t>1. Aktifkan batch read</t>
        </is>
      </c>
      <c r="F13" s="6" t="inlineStr">
        <is>
          <t>Engine memisahkan request Function 03 dan Function 04 secara ketat</t>
        </is>
      </c>
      <c r="G13" s="6" t="inlineStr"/>
      <c r="H13" s="55" t="inlineStr">
        <is>
          <t>NOT TESTED</t>
        </is>
      </c>
      <c r="I13" s="25" t="inlineStr">
        <is>
          <t>Critical</t>
        </is>
      </c>
      <c r="J13" s="48" t="inlineStr">
        <is>
          <t>REQ-BATCH-09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TC-POLL-010</t>
        </is>
      </c>
      <c r="B14" s="31" t="inlineStr">
        <is>
          <t>PDU Calculation</t>
        </is>
      </c>
      <c r="C14" s="51" t="inlineStr">
        <is>
          <t>Presisi perhitungan PDU Start Address dan Register Count</t>
        </is>
      </c>
      <c r="D14" s="51" t="inlineStr">
        <is>
          <t>Parameter mulai dari address 100 dengan panjang 2 register</t>
        </is>
      </c>
      <c r="E14" s="51" t="inlineStr">
        <is>
          <t>1. Periksa byte PDU Modbus pada frame TX</t>
        </is>
      </c>
      <c r="F14" s="51" t="inlineStr">
        <is>
          <t>Byte address dan byte count pada frame heksadesimal cocok 100% dengan PDU Modbus standard</t>
        </is>
      </c>
      <c r="G14" s="51" t="inlineStr"/>
      <c r="H14" s="56" t="inlineStr">
        <is>
          <t>NOT TESTED</t>
        </is>
      </c>
      <c r="I14" s="30" t="inlineStr">
        <is>
          <t>High</t>
        </is>
      </c>
      <c r="J14" s="52" t="inlineStr">
        <is>
          <t>REQ-BATCH-10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TC-POLL-011</t>
        </is>
      </c>
      <c r="B15" s="26" t="inlineStr">
        <is>
          <t>Equivalence Check</t>
        </is>
      </c>
      <c r="C15" s="6" t="inlineStr">
        <is>
          <t>Kesetaraan hasil baca Batch Read vs Single Read</t>
        </is>
      </c>
      <c r="D15" s="6" t="inlineStr">
        <is>
          <t>Kondisi sensor menghasilkan data konstan</t>
        </is>
      </c>
      <c r="E15" s="6" t="inlineStr">
        <is>
          <t>1. Baca nilai 14 parameter menggunakan Single Read
2. Beralih ke Batch Read dan baca nilai 14 parameter
3. Bandingkan</t>
        </is>
      </c>
      <c r="F15" s="6" t="inlineStr">
        <is>
          <t>Nilai yang dihasilkan identik 100% tanpa distorsi posisi byte/word order</t>
        </is>
      </c>
      <c r="G15" s="6" t="inlineStr"/>
      <c r="H15" s="55" t="inlineStr">
        <is>
          <t>NOT TESTED</t>
        </is>
      </c>
      <c r="I15" s="25" t="inlineStr">
        <is>
          <t>Critical</t>
        </is>
      </c>
      <c r="J15" s="48" t="inlineStr">
        <is>
          <t>REQ-BATCH-11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TC-POLL-012</t>
        </is>
      </c>
      <c r="B16" s="31" t="inlineStr">
        <is>
          <t>Fault Tolerance</t>
        </is>
      </c>
      <c r="C16" s="51" t="inlineStr">
        <is>
          <t>Fallback otomatis ke Single Read saat Batch Request gagal</t>
        </is>
      </c>
      <c r="D16" s="51" t="inlineStr">
        <is>
          <t>Perangkat menolak membaca rentang register besar (menghasilkan Modbus Exception 02)</t>
        </is>
      </c>
      <c r="E16" s="51" t="inlineStr">
        <is>
          <t>1. Kirim request batch yang gagal
2. Amati reaksi engine polling</t>
        </is>
      </c>
      <c r="F16" s="51" t="inlineStr">
        <is>
          <t>Engine otomatis fallback melakukan pembacaan single register sehingga parameter lain tetap terbaca</t>
        </is>
      </c>
      <c r="G16" s="51" t="inlineStr"/>
      <c r="H16" s="56" t="inlineStr">
        <is>
          <t>NOT TESTED</t>
        </is>
      </c>
      <c r="I16" s="30" t="inlineStr">
        <is>
          <t>Critical</t>
        </is>
      </c>
      <c r="J16" s="52" t="inlineStr">
        <is>
          <t>REQ-BATCH-12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  <row r="17" ht="48" customHeight="1">
      <c r="A17" s="25" t="inlineStr">
        <is>
          <t>TC-POLL-013</t>
        </is>
      </c>
      <c r="B17" s="26" t="inlineStr">
        <is>
          <t>Circuit Breaker</t>
        </is>
      </c>
      <c r="C17" s="6" t="inlineStr">
        <is>
          <t>Aktivasi Circuit Breaker dan pemulihan otomatis</t>
        </is>
      </c>
      <c r="D17" s="6" t="inlineStr">
        <is>
          <t>Komunikasi batch mengalami error berturut-turut</t>
        </is>
      </c>
      <c r="E17" s="6" t="inlineStr">
        <is>
          <t>1. Simulasikan 5 kegagalan batch berturut-turut
2. Amati transisi state circuit breaker
3. Pulihkan komunikasi</t>
        </is>
      </c>
      <c r="F17" s="6" t="inlineStr">
        <is>
          <t>Circuit breaker trip ke state OPEN (menghentikan batch sementara) dan transisi kembali ke CLOSED setelah pulih</t>
        </is>
      </c>
      <c r="G17" s="6" t="inlineStr"/>
      <c r="H17" s="55" t="inlineStr">
        <is>
          <t>NOT TESTED</t>
        </is>
      </c>
      <c r="I17" s="25" t="inlineStr">
        <is>
          <t>High</t>
        </is>
      </c>
      <c r="J17" s="48" t="inlineStr">
        <is>
          <t>REQ-BATCH-13</t>
        </is>
      </c>
      <c r="K17" s="26" t="inlineStr"/>
      <c r="L17" s="48" t="inlineStr">
        <is>
          <t>[Tester]</t>
        </is>
      </c>
      <c r="M17" s="48" t="inlineStr">
        <is>
          <t>[Date]</t>
        </is>
      </c>
      <c r="N17" s="6" t="inlineStr"/>
    </row>
    <row r="18" ht="48" customHeight="1">
      <c r="A18" s="30" t="inlineStr">
        <is>
          <t>TC-POLL-014</t>
        </is>
      </c>
      <c r="B18" s="31" t="inlineStr">
        <is>
          <t>UI Visualization</t>
        </is>
      </c>
      <c r="C18" s="51" t="inlineStr">
        <is>
          <t>Visualisasi Polling Plan Preview pada dashboard admin</t>
        </is>
      </c>
      <c r="D18" s="51" t="inlineStr">
        <is>
          <t>Login sebagai Admin/Superadmin</t>
        </is>
      </c>
      <c r="E18" s="51" t="inlineStr">
        <is>
          <t>1. Buka modal Polling Plan Preview pada konfigurasi perangkat</t>
        </is>
      </c>
      <c r="F18" s="51" t="inlineStr">
        <is>
          <t>Tampilan visual menampilkan blok batch, estimasi reduksi cycle time, dan daftar register dengan akurat</t>
        </is>
      </c>
      <c r="G18" s="51" t="inlineStr"/>
      <c r="H18" s="56" t="inlineStr">
        <is>
          <t>NOT TESTED</t>
        </is>
      </c>
      <c r="I18" s="30" t="inlineStr">
        <is>
          <t>Medium</t>
        </is>
      </c>
      <c r="J18" s="52" t="inlineStr">
        <is>
          <t>REQ-BATCH-14</t>
        </is>
      </c>
      <c r="K18" s="31" t="inlineStr"/>
      <c r="L18" s="52" t="inlineStr">
        <is>
          <t>[Tester]</t>
        </is>
      </c>
      <c r="M18" s="52" t="inlineStr">
        <is>
          <t>[Date]</t>
        </is>
      </c>
      <c r="N18" s="51" t="inlineStr"/>
    </row>
  </sheetData>
  <autoFilter ref="A4:N18"/>
  <mergeCells count="2">
    <mergeCell ref="A2:N2"/>
    <mergeCell ref="A1:N1"/>
  </mergeCells>
  <conditionalFormatting sqref="H5:H1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8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8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8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Telemetry &amp; Data Integrity | Doc ID: DAA-QA-001 | Version: 1.0 | Status: Draft for QA Execution | Scope: Pengujian aliran telemetri real-time, validasi timestamp, status mutu data, dan integritas penyimpanan.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TC-TEL-001</t>
        </is>
      </c>
      <c r="B5" s="26" t="inlineStr">
        <is>
          <t>Data Ingestion</t>
        </is>
      </c>
      <c r="C5" s="6" t="inlineStr">
        <is>
          <t>Aliran data telemetri baru diterima pada cadence 5 detik</t>
        </is>
      </c>
      <c r="D5" s="6" t="inlineStr">
        <is>
          <t>Stasiun dalam kondisi polling normal</t>
        </is>
      </c>
      <c r="E5" s="6" t="inlineStr">
        <is>
          <t>1. Buka menu Live Telemetry
2. Amati indikator 'Last packet' dan denyut pulsa</t>
        </is>
      </c>
      <c r="F5" s="6" t="inlineStr">
        <is>
          <t>Data diperbarui setiap 5 detik secara teratur tanpa lonjakan jeda waktu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REQ-TEL-01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TC-TEL-002</t>
        </is>
      </c>
      <c r="B6" s="31" t="inlineStr">
        <is>
          <t>Data Integrity</t>
        </is>
      </c>
      <c r="C6" s="51" t="inlineStr">
        <is>
          <t>Akurasi nilai telemetri terhadap sumber analyzer</t>
        </is>
      </c>
      <c r="D6" s="51" t="inlineStr">
        <is>
          <t>Analyzer terkalibrasi menampilkan nilai konsentrasi</t>
        </is>
      </c>
      <c r="E6" s="51" t="inlineStr">
        <is>
          <t>1. Catat pembacaan pada layar fisik analyzer
2. Bandingkan dengan nilai di dashboard datalogger</t>
        </is>
      </c>
      <c r="F6" s="51" t="inlineStr">
        <is>
          <t>Nilai di datalogger presisi sesuai pembacaan analyzer dalam toleransi kalibrasi</t>
        </is>
      </c>
      <c r="G6" s="51" t="inlineStr"/>
      <c r="H6" s="56" t="inlineStr">
        <is>
          <t>NOT TESTED</t>
        </is>
      </c>
      <c r="I6" s="30" t="inlineStr">
        <is>
          <t>Critical</t>
        </is>
      </c>
      <c r="J6" s="52" t="inlineStr">
        <is>
          <t>REQ-TEL-02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TC-TEL-003</t>
        </is>
      </c>
      <c r="B7" s="26" t="inlineStr">
        <is>
          <t>Timestamp &amp; Timezone</t>
        </is>
      </c>
      <c r="C7" s="6" t="inlineStr">
        <is>
          <t>Validasi format timestamp ISO-8601 dan timezone lokal WIB</t>
        </is>
      </c>
      <c r="D7" s="6" t="inlineStr">
        <is>
          <t>Host server tersinkronisasi NTP</t>
        </is>
      </c>
      <c r="E7" s="6" t="inlineStr">
        <is>
          <t>1. Periksa field timestamp pada tabel telemetry_readings
2. Verifikasi zona waktu pada UI</t>
        </is>
      </c>
      <c r="F7" s="6" t="inlineStr">
        <is>
          <t>Timestamp tercatat dalam format UTC di database dan terkonversi akurat ke WIB (UTC+7) di antarmuka</t>
        </is>
      </c>
      <c r="G7" s="6" t="inlineStr"/>
      <c r="H7" s="55" t="inlineStr">
        <is>
          <t>NOT TESTED</t>
        </is>
      </c>
      <c r="I7" s="25" t="inlineStr">
        <is>
          <t>High</t>
        </is>
      </c>
      <c r="J7" s="48" t="inlineStr">
        <is>
          <t>REQ-TEL-03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TC-TEL-004</t>
        </is>
      </c>
      <c r="B8" s="31" t="inlineStr">
        <is>
          <t>Storage Integrity</t>
        </is>
      </c>
      <c r="C8" s="51" t="inlineStr">
        <is>
          <t>Penyimpanan data dengan foreign key device_id dan parameter_id yang valid</t>
        </is>
      </c>
      <c r="D8" s="51" t="inlineStr">
        <is>
          <t>Data telemetri masuk</t>
        </is>
      </c>
      <c r="E8" s="51" t="inlineStr">
        <is>
          <t>1. Jalankan query database pada telemetry_readings
2. Periksa relasi ke tabel devices dan parameters</t>
        </is>
      </c>
      <c r="F8" s="51" t="inlineStr">
        <is>
          <t>Setiap baris tersimpan dengan relasi foreign key yang benar tanpa orphaned records</t>
        </is>
      </c>
      <c r="G8" s="51" t="inlineStr"/>
      <c r="H8" s="56" t="inlineStr">
        <is>
          <t>NOT TESTED</t>
        </is>
      </c>
      <c r="I8" s="30" t="inlineStr">
        <is>
          <t>Critical</t>
        </is>
      </c>
      <c r="J8" s="52" t="inlineStr">
        <is>
          <t>REQ-TEL-04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TC-TEL-005</t>
        </is>
      </c>
      <c r="B9" s="26" t="inlineStr">
        <is>
          <t>Deduplication</t>
        </is>
      </c>
      <c r="C9" s="6" t="inlineStr">
        <is>
          <t>Uji idempotensi dan pencegahan duplikasi data telemetri</t>
        </is>
      </c>
      <c r="D9" s="6" t="inlineStr">
        <is>
          <t>Dua siklus polling dieksekusi</t>
        </is>
      </c>
      <c r="E9" s="6" t="inlineStr">
        <is>
          <t>1. Periksa index unik (device_id, parameter_id, timestamp)
2. Coba simpan paket ganda</t>
        </is>
      </c>
      <c r="F9" s="6" t="inlineStr">
        <is>
          <t>Database menolak duplikasi data pada detik yang sama untuk parameter yang sama</t>
        </is>
      </c>
      <c r="G9" s="6" t="inlineStr"/>
      <c r="H9" s="55" t="inlineStr">
        <is>
          <t>NOT TESTED</t>
        </is>
      </c>
      <c r="I9" s="25" t="inlineStr">
        <is>
          <t>High</t>
        </is>
      </c>
      <c r="J9" s="48" t="inlineStr">
        <is>
          <t>REQ-TEL-05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TC-TEL-006</t>
        </is>
      </c>
      <c r="B10" s="31" t="inlineStr">
        <is>
          <t>Quality Evaluation</t>
        </is>
      </c>
      <c r="C10" s="51" t="inlineStr">
        <is>
          <t>Penetapan status mutu GOOD pada kondisi normal</t>
        </is>
      </c>
      <c r="D10" s="51" t="inlineStr">
        <is>
          <t>Pembacaan sensor valid dan stabil</t>
        </is>
      </c>
      <c r="E10" s="51" t="inlineStr">
        <is>
          <t>1. Buka menu Live Telemetry
2. Amati badge mutu</t>
        </is>
      </c>
      <c r="F10" s="51" t="inlineStr">
        <is>
          <t>Parameter menampilkan badge hijau 'GOOD' dengan keterangan 'CRC &amp; Modbus valid'</t>
        </is>
      </c>
      <c r="G10" s="51" t="inlineStr"/>
      <c r="H10" s="56" t="inlineStr">
        <is>
          <t>NOT TESTED</t>
        </is>
      </c>
      <c r="I10" s="30" t="inlineStr">
        <is>
          <t>High</t>
        </is>
      </c>
      <c r="J10" s="52" t="inlineStr">
        <is>
          <t>REQ-TEL-06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TC-TEL-007</t>
        </is>
      </c>
      <c r="B11" s="26" t="inlineStr">
        <is>
          <t>Quality Evaluation</t>
        </is>
      </c>
      <c r="C11" s="6" t="inlineStr">
        <is>
          <t>Penetapan status mutu UNCERTAIN pada kondisi peringatan</t>
        </is>
      </c>
      <c r="D11" s="6" t="inlineStr">
        <is>
          <t>Nilai mendekati ambang batas warning_high atau sensor mulai stuck</t>
        </is>
      </c>
      <c r="E11" s="6" t="inlineStr">
        <is>
          <t>1. Kirim nilai di atas ambang warning
2. Amati badge mutu</t>
        </is>
      </c>
      <c r="F11" s="6" t="inlineStr">
        <is>
          <t>Status berubah menjadi kuning 'UNCERTAIN' dengan alasan 'OUT_OF_WARNING_RANGE'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REQ-TEL-07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TC-TEL-008</t>
        </is>
      </c>
      <c r="B12" s="31" t="inlineStr">
        <is>
          <t>Quality Evaluation</t>
        </is>
      </c>
      <c r="C12" s="51" t="inlineStr">
        <is>
          <t>Penetapan status mutu BAD pada kondisi error fisik</t>
        </is>
      </c>
      <c r="D12" s="51" t="inlineStr">
        <is>
          <t>Sensor mengirimkan nilai negatif di luar batas fisik atau terjadi Modbus error</t>
        </is>
      </c>
      <c r="E12" s="51" t="inlineStr">
        <is>
          <t>1. Simulasikan nilai out-of-range
2. Amati badge mutu</t>
        </is>
      </c>
      <c r="F12" s="51" t="inlineStr">
        <is>
          <t>Status berubah menjadi merah 'BAD' dan nilai tidak diikutsertakan dalam rata-rata baku mutu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REQ-TEL-08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TC-TEL-009</t>
        </is>
      </c>
      <c r="B13" s="26" t="inlineStr">
        <is>
          <t>Stale Detection</t>
        </is>
      </c>
      <c r="C13" s="6" t="inlineStr">
        <is>
          <t>Deteksi dan penandaan status data STALE saat timeout</t>
        </is>
      </c>
      <c r="D13" s="6" t="inlineStr">
        <is>
          <t>Transmisi data dihentikan paksa</t>
        </is>
      </c>
      <c r="E13" s="6" t="inlineStr">
        <is>
          <t>1. Hentikan transmisi sensor selama &gt; 120 detik
2. Amati kartu Live Telemetry</t>
        </is>
      </c>
      <c r="F13" s="6" t="inlineStr">
        <is>
          <t>Status berubah menjadi 'STALE' (Timed Out) dan denyut pulsa hijau berhenti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REQ-TEL-09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TC-TEL-010</t>
        </is>
      </c>
      <c r="B14" s="31" t="inlineStr">
        <is>
          <t>Channel Separation</t>
        </is>
      </c>
      <c r="C14" s="51" t="inlineStr">
        <is>
          <t>Isolasi data 14 parameter tanpa kontaminasi silang</t>
        </is>
      </c>
      <c r="D14" s="51" t="inlineStr">
        <is>
          <t>14 parameter aktif secara simultan</t>
        </is>
      </c>
      <c r="E14" s="51" t="inlineStr">
        <is>
          <t>1. Simulasikan perubahan nilai ekstrem pada PM2.5
2. Amati nilai parameter SO2, CO, dan Suhu</t>
        </is>
      </c>
      <c r="F14" s="51" t="inlineStr">
        <is>
          <t>Hanya nilai PM2.5 yang berubah, nilai parameter lain tetap independen tanpa kebocoran memori buffer</t>
        </is>
      </c>
      <c r="G14" s="51" t="inlineStr"/>
      <c r="H14" s="56" t="inlineStr">
        <is>
          <t>NOT TESTED</t>
        </is>
      </c>
      <c r="I14" s="30" t="inlineStr">
        <is>
          <t>Critical</t>
        </is>
      </c>
      <c r="J14" s="52" t="inlineStr">
        <is>
          <t>REQ-TEL-10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TC-TEL-011</t>
        </is>
      </c>
      <c r="B15" s="26" t="inlineStr">
        <is>
          <t>Live Updates</t>
        </is>
      </c>
      <c r="C15" s="6" t="inlineStr">
        <is>
          <t>Pembaruan real-time pada UI tanpa me-refresh halaman browser</t>
        </is>
      </c>
      <c r="D15" s="6" t="inlineStr">
        <is>
          <t>Dashboard terbuka di layar</t>
        </is>
      </c>
      <c r="E15" s="6" t="inlineStr">
        <is>
          <t>1. Amati tampilan angka sensor selama 30 detik tanpa menyentuh keyboard/mouse</t>
        </is>
      </c>
      <c r="F15" s="6" t="inlineStr">
        <is>
          <t>Angka sensor dan grafik trend otomatis ter-render ulang secara halus saat data baru tiba</t>
        </is>
      </c>
      <c r="G15" s="6" t="inlineStr"/>
      <c r="H15" s="55" t="inlineStr">
        <is>
          <t>NOT TESTED</t>
        </is>
      </c>
      <c r="I15" s="25" t="inlineStr">
        <is>
          <t>High</t>
        </is>
      </c>
      <c r="J15" s="48" t="inlineStr">
        <is>
          <t>REQ-TEL-11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TC-TEL-012</t>
        </is>
      </c>
      <c r="B16" s="31" t="inlineStr">
        <is>
          <t>Buffer Recovery</t>
        </is>
      </c>
      <c r="C16" s="51" t="inlineStr">
        <is>
          <t>Penanganan reconnect jaringan tanpa kehilangan data (Local Buffering)</t>
        </is>
      </c>
      <c r="D16" s="51" t="inlineStr">
        <is>
          <t>Koneksi jaringan klien terputus selama 1 menit</t>
        </is>
      </c>
      <c r="E16" s="51" t="inlineStr">
        <is>
          <t>1. Putus koneksi LAN klien
2. Sambungkan kembali
3. Buka grafik historis</t>
        </is>
      </c>
      <c r="F16" s="51" t="inlineStr">
        <is>
          <t>Data selama pemutusan tetap tersimpan utuh di MariaDB Edge dan langsung muncul saat refresh</t>
        </is>
      </c>
      <c r="G16" s="51" t="inlineStr"/>
      <c r="H16" s="56" t="inlineStr">
        <is>
          <t>NOT TESTED</t>
        </is>
      </c>
      <c r="I16" s="30" t="inlineStr">
        <is>
          <t>High</t>
        </is>
      </c>
      <c r="J16" s="52" t="inlineStr">
        <is>
          <t>REQ-TEL-12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</sheetData>
  <autoFilter ref="A4:N16"/>
  <mergeCells count="2">
    <mergeCell ref="A2:N2"/>
    <mergeCell ref="A1:N1"/>
  </mergeCells>
  <conditionalFormatting sqref="H5:H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6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6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6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Aggregation &amp; Rollup | Doc ID: DAA-QA-001 | Version: 1.0 | Status: Draft for QA Execution | Scope: Pengujian agregasi statistik berkala (1m, 5m, 1h, 1d), penanganan data kosong, dan integritas rollup.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TC-AGGR-001</t>
        </is>
      </c>
      <c r="B5" s="26" t="inlineStr">
        <is>
          <t>Rollup Execution</t>
        </is>
      </c>
      <c r="C5" s="6" t="inlineStr">
        <is>
          <t>Komputasi agregasi interval 1 menit (1-Minute Rollup)</t>
        </is>
      </c>
      <c r="D5" s="6" t="inlineStr">
        <is>
          <t>Data telemetri mentah tersedia selama minimal 2 menit</t>
        </is>
      </c>
      <c r="E5" s="6" t="inlineStr">
        <is>
          <t>1. Tunggu pergantian menit
2. Periksa tabel telemetry_aggregations untuk interval '1m'</t>
        </is>
      </c>
      <c r="F5" s="6" t="inlineStr">
        <is>
          <t>Tersedia baris ringkasan dengan avg_value, min_value, max_value, dan sample_count tepat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REQ-AGGR-01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TC-AGGR-002</t>
        </is>
      </c>
      <c r="B6" s="31" t="inlineStr">
        <is>
          <t>Rollup Execution</t>
        </is>
      </c>
      <c r="C6" s="51" t="inlineStr">
        <is>
          <t>Komputasi agregasi interval 5 menit (5-Minute Rollup)</t>
        </is>
      </c>
      <c r="D6" s="51" t="inlineStr">
        <is>
          <t>Data telemetri mentah tersedia selama 10 menit</t>
        </is>
      </c>
      <c r="E6" s="51" t="inlineStr">
        <is>
          <t>1. Periksa tabel agregasi untuk interval '5m'</t>
        </is>
      </c>
      <c r="F6" s="51" t="inlineStr">
        <is>
          <t>Nilai rata-rata 5 menit terhitung akurat sesuai rumus matematika rata-rata terbobot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REQ-AGGR-02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TC-AGGR-003</t>
        </is>
      </c>
      <c r="B7" s="26" t="inlineStr">
        <is>
          <t>Rollup Execution</t>
        </is>
      </c>
      <c r="C7" s="6" t="inlineStr">
        <is>
          <t>Komputasi agregasi interval 1 jam (Hourly Rollup)</t>
        </is>
      </c>
      <c r="D7" s="6" t="inlineStr">
        <is>
          <t>Data telemetri tersedia selama 2 jam</t>
        </is>
      </c>
      <c r="E7" s="6" t="inlineStr">
        <is>
          <t>1. Periksa tabel agregasi untuk interval '1h' pada pergantian jam</t>
        </is>
      </c>
      <c r="F7" s="6" t="inlineStr">
        <is>
          <t>Agregasi 1 jam terkomputasi tepat pada batas jam (xx:00:00) dengan data completeness tercatat</t>
        </is>
      </c>
      <c r="G7" s="6" t="inlineStr"/>
      <c r="H7" s="55" t="inlineStr">
        <is>
          <t>NOT TESTED</t>
        </is>
      </c>
      <c r="I7" s="25" t="inlineStr">
        <is>
          <t>Critical</t>
        </is>
      </c>
      <c r="J7" s="48" t="inlineStr">
        <is>
          <t>REQ-AGGR-03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TC-AGGR-004</t>
        </is>
      </c>
      <c r="B8" s="31" t="inlineStr">
        <is>
          <t>Rollup Execution</t>
        </is>
      </c>
      <c r="C8" s="51" t="inlineStr">
        <is>
          <t>Komputasi agregasi harian (Daily Rollup)</t>
        </is>
      </c>
      <c r="D8" s="51" t="inlineStr">
        <is>
          <t>Data telemetri tersedia selama 24 jam</t>
        </is>
      </c>
      <c r="E8" s="51" t="inlineStr">
        <is>
          <t>1. Periksa tabel agregasi untuk interval '1d' pada pk 00:00:00 WIB</t>
        </is>
      </c>
      <c r="F8" s="51" t="inlineStr">
        <is>
          <t>Agregasi harian terhitung akurat untuk evaluasi baku mutu tahunan/bulanan</t>
        </is>
      </c>
      <c r="G8" s="51" t="inlineStr"/>
      <c r="H8" s="56" t="inlineStr">
        <is>
          <t>NOT TESTED</t>
        </is>
      </c>
      <c r="I8" s="30" t="inlineStr">
        <is>
          <t>High</t>
        </is>
      </c>
      <c r="J8" s="52" t="inlineStr">
        <is>
          <t>REQ-AGGR-04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TC-AGGR-005</t>
        </is>
      </c>
      <c r="B9" s="26" t="inlineStr">
        <is>
          <t>Time Boundary</t>
        </is>
      </c>
      <c r="C9" s="6" t="inlineStr">
        <is>
          <t>Presisi boundary waktu window interval agregasi</t>
        </is>
      </c>
      <c r="D9" s="6" t="inlineStr">
        <is>
          <t>Data masuk pada detik 14:59:59 dan 15:00:00</t>
        </is>
      </c>
      <c r="E9" s="6" t="inlineStr">
        <is>
          <t>1. Periksa alokasi window kedua sampel data</t>
        </is>
      </c>
      <c r="F9" s="6" t="inlineStr">
        <is>
          <t>Sampel detik 59 masuk ke window jam 14, sampel detik 00 masuk ke window jam 15 secara presisi</t>
        </is>
      </c>
      <c r="G9" s="6" t="inlineStr"/>
      <c r="H9" s="55" t="inlineStr">
        <is>
          <t>NOT TESTED</t>
        </is>
      </c>
      <c r="I9" s="25" t="inlineStr">
        <is>
          <t>High</t>
        </is>
      </c>
      <c r="J9" s="48" t="inlineStr">
        <is>
          <t>REQ-AGGR-05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TC-AGGR-006</t>
        </is>
      </c>
      <c r="B10" s="31" t="inlineStr">
        <is>
          <t>Quality Filter</t>
        </is>
      </c>
      <c r="C10" s="51" t="inlineStr">
        <is>
          <t>Pengecualian data berstatus BAD dari formula rata-rata agregasi</t>
        </is>
      </c>
      <c r="D10" s="51" t="inlineStr">
        <is>
          <t>Dataset uji berisi 8 data GOOD (nilai 50.0) dan 2 data BAD (nilai 9999.0)</t>
        </is>
      </c>
      <c r="E10" s="51" t="inlineStr">
        <is>
          <t>1. Jalankan kalkulasi agregasi
2. Periksa avg_value yang dihasilkan</t>
        </is>
      </c>
      <c r="F10" s="51" t="inlineStr">
        <is>
          <t>Rata-rata terhitung tepat 50.0 (nilai BAD dieksklusi dari pembilang dan penyebut)</t>
        </is>
      </c>
      <c r="G10" s="51" t="inlineStr"/>
      <c r="H10" s="56" t="inlineStr">
        <is>
          <t>NOT TESTED</t>
        </is>
      </c>
      <c r="I10" s="30" t="inlineStr">
        <is>
          <t>Critical</t>
        </is>
      </c>
      <c r="J10" s="52" t="inlineStr">
        <is>
          <t>REQ-AGGR-06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TC-AGGR-007</t>
        </is>
      </c>
      <c r="B11" s="26" t="inlineStr">
        <is>
          <t>Empty Period</t>
        </is>
      </c>
      <c r="C11" s="6" t="inlineStr">
        <is>
          <t>Penanganan periode waktu dengan data kosong (Missing Data Handling)</t>
        </is>
      </c>
      <c r="D11" s="6" t="inlineStr">
        <is>
          <t>Stasiun mati selama 3 jam</t>
        </is>
      </c>
      <c r="E11" s="6" t="inlineStr">
        <is>
          <t>1. Periksa hasil query agregasi pada 3 jam tersebut</t>
        </is>
      </c>
      <c r="F11" s="6" t="inlineStr">
        <is>
          <t>Sistem tidak crash, baris agregasi mencatat NULL dengan valid_count=0 secara elegan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REQ-AGGR-07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TC-AGGR-008</t>
        </is>
      </c>
      <c r="B12" s="31" t="inlineStr">
        <is>
          <t>Equivalence Check</t>
        </is>
      </c>
      <c r="C12" s="51" t="inlineStr">
        <is>
          <t>Verifikasi konsistensi rollup terhadap query raw aggregation manual</t>
        </is>
      </c>
      <c r="D12" s="51" t="inlineStr">
        <is>
          <t>Data mentah tersimpan di database</t>
        </is>
      </c>
      <c r="E12" s="51" t="inlineStr">
        <is>
          <t>1. Jalankan query SQL manual 'SELECT AVG(value) FROM telemetry_readings WHERE...'
2. Bandingkan dengan avg_value tabel agregasi</t>
        </is>
      </c>
      <c r="F12" s="51" t="inlineStr">
        <is>
          <t>Nilai kalkulasi engine rollup identik dengan query manual SQL tanpa deviasi numerik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REQ-AGGR-08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TC-AGGR-009</t>
        </is>
      </c>
      <c r="B13" s="26" t="inlineStr">
        <is>
          <t>Idempotency</t>
        </is>
      </c>
      <c r="C13" s="6" t="inlineStr">
        <is>
          <t>Pencegahan duplikasi baris saat eksekusi rollup berulang (Idempotent Rollup)</t>
        </is>
      </c>
      <c r="D13" s="6" t="inlineStr">
        <is>
          <t>Agregasi jam 10 telah dihitung</t>
        </is>
      </c>
      <c r="E13" s="6" t="inlineStr">
        <is>
          <t>1. Picu kalkulasi ulang (recalculate) agregasi jam 10 via command/endpoint</t>
        </is>
      </c>
      <c r="F13" s="6" t="inlineStr">
        <is>
          <t>Baris lama di-update (UPSERT) tanpa menghasilkan baris ganda di database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REQ-AGGR-09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TC-AGGR-010</t>
        </is>
      </c>
      <c r="B14" s="31" t="inlineStr">
        <is>
          <t>Storage Schema</t>
        </is>
      </c>
      <c r="C14" s="51" t="inlineStr">
        <is>
          <t>Pemisahan penyimpanan data agregasi pada tabel khusus</t>
        </is>
      </c>
      <c r="D14" s="51" t="inlineStr">
        <is>
          <t>Database MariaDB aktif</t>
        </is>
      </c>
      <c r="E14" s="51" t="inlineStr">
        <is>
          <t>1. Verifikasi skema tabel telemetry_aggregations terpisah dari telemetry_readings</t>
        </is>
      </c>
      <c r="F14" s="51" t="inlineStr">
        <is>
          <t>Tabel agregasi memiliki indeks terpisah untuk menjamin query historis tetap cepat</t>
        </is>
      </c>
      <c r="G14" s="51" t="inlineStr"/>
      <c r="H14" s="56" t="inlineStr">
        <is>
          <t>NOT TESTED</t>
        </is>
      </c>
      <c r="I14" s="30" t="inlineStr">
        <is>
          <t>Medium</t>
        </is>
      </c>
      <c r="J14" s="52" t="inlineStr">
        <is>
          <t>REQ-AGGR-10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</sheetData>
  <autoFilter ref="A4:N14"/>
  <mergeCells count="2">
    <mergeCell ref="A2:N2"/>
    <mergeCell ref="A1:N1"/>
  </mergeCells>
  <conditionalFormatting sqref="H5:H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4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4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4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Dashboard &amp; UI | Doc ID: DAA-QA-001 | Version: 1.0 | Status: Draft for QA Execution | Scope: Pengujian tampilan SCADA Operator Console, rendering grafik, tema Dark/Light, bahasa, dan responsivitas.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TC-UI-001</t>
        </is>
      </c>
      <c r="B5" s="26" t="inlineStr">
        <is>
          <t>SCADA Console</t>
        </is>
      </c>
      <c r="C5" s="6" t="inlineStr">
        <is>
          <t>Pemuatan lengkap Operator Command Center setelah login</t>
        </is>
      </c>
      <c r="D5" s="6" t="inlineStr">
        <is>
          <t>Login sebagai Operator</t>
        </is>
      </c>
      <c r="E5" s="6" t="inlineStr">
        <is>
          <t>1. Akses /#/monitoring/operator
2. Amati waktu render seluruh kartu dan grafik</t>
        </is>
      </c>
      <c r="F5" s="6" t="inlineStr">
        <is>
          <t>Seluruh 6 zona dashboard SCADA ter-render sempurna dalam waktu &lt; 2 detik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REQ-UI-02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TC-UI-002</t>
        </is>
      </c>
      <c r="B6" s="31" t="inlineStr">
        <is>
          <t>Header Elements</t>
        </is>
      </c>
      <c r="C6" s="51" t="inlineStr">
        <is>
          <t>Verifikasi Header Terpadu (Logo, Nama Customer, Jam Digital, Logo Maker)</t>
        </is>
      </c>
      <c r="D6" s="51" t="inlineStr">
        <is>
          <t>Dashboard terbuka</t>
        </is>
      </c>
      <c r="E6" s="51" t="inlineStr">
        <is>
          <t>1. Periksa logo customer di kiri
2. Periksa jam digital pusat (Hari, Tanggal, Jam:Menit:Detik)
3. Periksa logo maker di kanan</t>
        </is>
      </c>
      <c r="F6" s="51" t="inlineStr">
        <is>
          <t>Komponen header tersusun seimbang, jam digital berdetik sinkron setiap detik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REQ-UI-03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TC-UI-003</t>
        </is>
      </c>
      <c r="B7" s="26" t="inlineStr">
        <is>
          <t>Status Indicator</t>
        </is>
      </c>
      <c r="C7" s="6" t="inlineStr">
        <is>
          <t>Indikator status stasiun (ONLINE hijau / OFFLINE merah)</t>
        </is>
      </c>
      <c r="D7" s="6" t="inlineStr">
        <is>
          <t>Stasiun dalam kondisi operasional</t>
        </is>
      </c>
      <c r="E7" s="6" t="inlineStr">
        <is>
          <t>1. Periksa badge status di samping nama stasiun</t>
        </is>
      </c>
      <c r="F7" s="6" t="inlineStr">
        <is>
          <t>Status menampilkan 'SCADA' dengan dot hijau pulsatif saat stasiun online</t>
        </is>
      </c>
      <c r="G7" s="6" t="inlineStr"/>
      <c r="H7" s="55" t="inlineStr">
        <is>
          <t>NOT TESTED</t>
        </is>
      </c>
      <c r="I7" s="25" t="inlineStr">
        <is>
          <t>High</t>
        </is>
      </c>
      <c r="J7" s="48" t="inlineStr">
        <is>
          <t>REQ-UI-04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TC-UI-004</t>
        </is>
      </c>
      <c r="B8" s="31" t="inlineStr">
        <is>
          <t>Sensor Cards</t>
        </is>
      </c>
      <c r="C8" s="51" t="inlineStr">
        <is>
          <t>Tampilan 14 kartu parameter sensor dengan nilai besar dan unit resmi</t>
        </is>
      </c>
      <c r="D8" s="51" t="inlineStr">
        <is>
          <t>14 parameter aktif</t>
        </is>
      </c>
      <c r="E8" s="51" t="inlineStr">
        <is>
          <t>1. Periksa kartu PM2.5, PM10, O3, SO2, NO2, CO, HC, Temp, Hum, Press, Wind</t>
        </is>
      </c>
      <c r="F8" s="51" t="inlineStr">
        <is>
          <t>Setiap kartu menampilkan nama parameter, angka besar desimal presisi, satuan, dan badge GAS/MET</t>
        </is>
      </c>
      <c r="G8" s="51" t="inlineStr"/>
      <c r="H8" s="56" t="inlineStr">
        <is>
          <t>NOT TESTED</t>
        </is>
      </c>
      <c r="I8" s="30" t="inlineStr">
        <is>
          <t>Critical</t>
        </is>
      </c>
      <c r="J8" s="52" t="inlineStr">
        <is>
          <t>REQ-UI-05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TC-UI-005</t>
        </is>
      </c>
      <c r="B9" s="26" t="inlineStr">
        <is>
          <t>Sensor Cards</t>
        </is>
      </c>
      <c r="C9" s="6" t="inlineStr">
        <is>
          <t>Tampilan sparkline mini dan trend arah panah</t>
        </is>
      </c>
      <c r="D9" s="6" t="inlineStr">
        <is>
          <t>Tersedia data historis beberapa siklus</t>
        </is>
      </c>
      <c r="E9" s="6" t="inlineStr">
        <is>
          <t>1. Amati grafik mini sparkline pada setiap kartu sensor</t>
        </is>
      </c>
      <c r="F9" s="6" t="inlineStr">
        <is>
          <t>Sparkline menampilkan pola kurva 10 titik terakhir secara dinamis</t>
        </is>
      </c>
      <c r="G9" s="6" t="inlineStr"/>
      <c r="H9" s="55" t="inlineStr">
        <is>
          <t>NOT TESTED</t>
        </is>
      </c>
      <c r="I9" s="25" t="inlineStr">
        <is>
          <t>Medium</t>
        </is>
      </c>
      <c r="J9" s="48" t="inlineStr">
        <is>
          <t>REQ-UI-06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TC-UI-006</t>
        </is>
      </c>
      <c r="B10" s="31" t="inlineStr">
        <is>
          <t>Live Cadence</t>
        </is>
      </c>
      <c r="C10" s="51" t="inlineStr">
        <is>
          <t>Pembaruan angka sensor secara dinamis saat data baru masuk</t>
        </is>
      </c>
      <c r="D10" s="51" t="inlineStr">
        <is>
          <t>Data masuk per 5 detik</t>
        </is>
      </c>
      <c r="E10" s="51" t="inlineStr">
        <is>
          <t>1. Amati kartu saat nilai sensor berubah di simulator</t>
        </is>
      </c>
      <c r="F10" s="51" t="inlineStr">
        <is>
          <t>Nilai angka pada kartu langsung diperbarui seketika tanpa flicker visual</t>
        </is>
      </c>
      <c r="G10" s="51" t="inlineStr"/>
      <c r="H10" s="56" t="inlineStr">
        <is>
          <t>NOT TESTED</t>
        </is>
      </c>
      <c r="I10" s="30" t="inlineStr">
        <is>
          <t>Critical</t>
        </is>
      </c>
      <c r="J10" s="52" t="inlineStr">
        <is>
          <t>REQ-UI-07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TC-UI-007</t>
        </is>
      </c>
      <c r="B11" s="26" t="inlineStr">
        <is>
          <t>ISPU Strip</t>
        </is>
      </c>
      <c r="C11" s="6" t="inlineStr">
        <is>
          <t>Tampilan strip status cepat ISPU stasiun</t>
        </is>
      </c>
      <c r="D11" s="6" t="inlineStr">
        <is>
          <t>Data 24 jam tersedia</t>
        </is>
      </c>
      <c r="E11" s="6" t="inlineStr">
        <is>
          <t>1. Periksa pita ISPU di atas grafik trend</t>
        </is>
      </c>
      <c r="F11" s="6" t="inlineStr">
        <is>
          <t>Menampilkan angka indeks (misal: 93), Kategori (SEDANG), Dominant Pollutant (PM25), dan status VALID (96%)</t>
        </is>
      </c>
      <c r="G11" s="6" t="inlineStr"/>
      <c r="H11" s="55" t="inlineStr">
        <is>
          <t>NOT TESTED</t>
        </is>
      </c>
      <c r="I11" s="25" t="inlineStr">
        <is>
          <t>Critical</t>
        </is>
      </c>
      <c r="J11" s="48" t="inlineStr">
        <is>
          <t>REQ-UI-08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TC-UI-008</t>
        </is>
      </c>
      <c r="B12" s="31" t="inlineStr">
        <is>
          <t>Trend Chart</t>
        </is>
      </c>
      <c r="C12" s="51" t="inlineStr">
        <is>
          <t>Rendering grafik Trend Analysis multi-parameter bawah (14 kurva)</t>
        </is>
      </c>
      <c r="D12" s="51" t="inlineStr">
        <is>
          <t>Dashboard terbuka</t>
        </is>
      </c>
      <c r="E12" s="51" t="inlineStr">
        <is>
          <t>1. Amati grafik kurva bawah</t>
        </is>
      </c>
      <c r="F12" s="51" t="inlineStr">
        <is>
          <t>14 garis warna-warni ter-render mulus dengan sumbu waktu X dan sumbu nilai Y proporsional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REQ-UI-09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TC-UI-009</t>
        </is>
      </c>
      <c r="B13" s="26" t="inlineStr">
        <is>
          <t>Trend Chart</t>
        </is>
      </c>
      <c r="C13" s="6" t="inlineStr">
        <is>
          <t>Penggantian rentang waktu grafik trend (1m, 5m, 15m, 1h, 6h)</t>
        </is>
      </c>
      <c r="D13" s="6" t="inlineStr">
        <is>
          <t>Grafik sedang menampilkan rentang 15m</t>
        </is>
      </c>
      <c r="E13" s="6" t="inlineStr">
        <is>
          <t>1. Klik tombol '1m'
2. Klik tombol '1h'
3. Klik tombol '6h'</t>
        </is>
      </c>
      <c r="F13" s="6" t="inlineStr">
        <is>
          <t>Grafik memperbarui sumbu waktu dan merender data sesuai rentang yang dipilih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REQ-UI-10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TC-UI-010</t>
        </is>
      </c>
      <c r="B14" s="31" t="inlineStr">
        <is>
          <t>Trend Chart</t>
        </is>
      </c>
      <c r="C14" s="51" t="inlineStr">
        <is>
          <t>Isolasi parameter via toggle legenda pada grafik trend</t>
        </is>
      </c>
      <c r="D14" s="51" t="inlineStr">
        <is>
          <t>Grafik menampilkan seluruh 14 parameter</t>
        </is>
      </c>
      <c r="E14" s="51" t="inlineStr">
        <is>
          <t>1. Klik label parameter 'PM2.5' pada legenda untuk menyembunyikan
2. Klik kembali untuk memunculkan</t>
        </is>
      </c>
      <c r="F14" s="51" t="inlineStr">
        <is>
          <t>Garis kurva PM2.5 hilang dan muncul kembali secara interaktif</t>
        </is>
      </c>
      <c r="G14" s="51" t="inlineStr"/>
      <c r="H14" s="56" t="inlineStr">
        <is>
          <t>NOT TESTED</t>
        </is>
      </c>
      <c r="I14" s="30" t="inlineStr">
        <is>
          <t>Medium</t>
        </is>
      </c>
      <c r="J14" s="52" t="inlineStr">
        <is>
          <t>REQ-UI-11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TC-UI-011</t>
        </is>
      </c>
      <c r="B15" s="26" t="inlineStr">
        <is>
          <t>Toolbar Control</t>
        </is>
      </c>
      <c r="C15" s="6" t="inlineStr">
        <is>
          <t>Fungsi tombol Sidebar Auto-Hide / Pin</t>
        </is>
      </c>
      <c r="D15" s="6" t="inlineStr">
        <is>
          <t>Sidebar sedang tampil</t>
        </is>
      </c>
      <c r="E15" s="6" t="inlineStr">
        <is>
          <t>1. Klik tombol Auto-Hide pada toolbar atau header
2. Arahkan kursor menjauh dari sidebar</t>
        </is>
      </c>
      <c r="F15" s="6" t="inlineStr">
        <is>
          <t>Sidebar otomatis bergeser menyempit/hilang dan muncul kembali saat kursor diarahkan ke tepi kiri</t>
        </is>
      </c>
      <c r="G15" s="6" t="inlineStr"/>
      <c r="H15" s="55" t="inlineStr">
        <is>
          <t>NOT TESTED</t>
        </is>
      </c>
      <c r="I15" s="25" t="inlineStr">
        <is>
          <t>High</t>
        </is>
      </c>
      <c r="J15" s="48" t="inlineStr">
        <is>
          <t>REQ-UI-12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TC-UI-012</t>
        </is>
      </c>
      <c r="B16" s="31" t="inlineStr">
        <is>
          <t>Toolbar Control</t>
        </is>
      </c>
      <c r="C16" s="51" t="inlineStr">
        <is>
          <t>Fungsi tombol Fullscreen SCADA mode</t>
        </is>
      </c>
      <c r="D16" s="51" t="inlineStr">
        <is>
          <t>Layar browser dalam mode jendela normal</t>
        </is>
      </c>
      <c r="E16" s="51" t="inlineStr">
        <is>
          <t>1. Klik tombol Fullscreen pada toolbar SCADA
2. Tekan tombol ESC pada keyboard</t>
        </is>
      </c>
      <c r="F16" s="51" t="inlineStr">
        <is>
          <t>Aplikasi masuk ke mode layar penuh tanpa border browser dan keluar kembali secara normal</t>
        </is>
      </c>
      <c r="G16" s="51" t="inlineStr"/>
      <c r="H16" s="56" t="inlineStr">
        <is>
          <t>NOT TESTED</t>
        </is>
      </c>
      <c r="I16" s="30" t="inlineStr">
        <is>
          <t>Medium</t>
        </is>
      </c>
      <c r="J16" s="52" t="inlineStr">
        <is>
          <t>REQ-UI-13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  <row r="17" ht="48" customHeight="1">
      <c r="A17" s="25" t="inlineStr">
        <is>
          <t>TC-UI-013</t>
        </is>
      </c>
      <c r="B17" s="26" t="inlineStr">
        <is>
          <t>Theme System</t>
        </is>
      </c>
      <c r="C17" s="6" t="inlineStr">
        <is>
          <t>Pengalih tema Dark Mode dan Light Mode dengan kontras tinggi</t>
        </is>
      </c>
      <c r="D17" s="6" t="inlineStr">
        <is>
          <t>Aplikasi dalam tema gelap default</t>
        </is>
      </c>
      <c r="E17" s="6" t="inlineStr">
        <is>
          <t>1. Klik ikon matahari/bulan pada header
2. Evaluasi keterbacaan teks dan grafik pada Light Mode
3. Klik kembali ke Dark Mode</t>
        </is>
      </c>
      <c r="F17" s="6" t="inlineStr">
        <is>
          <t>Warna latar belakang dan teks berganti mulus dengan kontras keterbacaan memenuhi standar WCAG 2.1</t>
        </is>
      </c>
      <c r="G17" s="6" t="inlineStr"/>
      <c r="H17" s="55" t="inlineStr">
        <is>
          <t>NOT TESTED</t>
        </is>
      </c>
      <c r="I17" s="25" t="inlineStr">
        <is>
          <t>High</t>
        </is>
      </c>
      <c r="J17" s="48" t="inlineStr">
        <is>
          <t>REQ-UI-14</t>
        </is>
      </c>
      <c r="K17" s="26" t="inlineStr"/>
      <c r="L17" s="48" t="inlineStr">
        <is>
          <t>[Tester]</t>
        </is>
      </c>
      <c r="M17" s="48" t="inlineStr">
        <is>
          <t>[Date]</t>
        </is>
      </c>
      <c r="N17" s="6" t="inlineStr"/>
    </row>
    <row r="18" ht="48" customHeight="1">
      <c r="A18" s="30" t="inlineStr">
        <is>
          <t>TC-UI-014</t>
        </is>
      </c>
      <c r="B18" s="31" t="inlineStr">
        <is>
          <t>Internationalization</t>
        </is>
      </c>
      <c r="C18" s="51" t="inlineStr">
        <is>
          <t>Pengalih bahasa bilingual (Bahasa Indonesia &amp; English)</t>
        </is>
      </c>
      <c r="D18" s="51" t="inlineStr">
        <is>
          <t>Bahasa aktif adalah English</t>
        </is>
      </c>
      <c r="E18" s="51" t="inlineStr">
        <is>
          <t>1. Klik switch 'EN | ID' pada header
2. Periksa teks navigasi, label tombol, dan tanggal</t>
        </is>
      </c>
      <c r="F18" s="51" t="inlineStr">
        <is>
          <t>Seluruh teks antarmuka beralih ke Bahasa Indonesia secara instan tanpa reload halaman</t>
        </is>
      </c>
      <c r="G18" s="51" t="inlineStr"/>
      <c r="H18" s="56" t="inlineStr">
        <is>
          <t>NOT TESTED</t>
        </is>
      </c>
      <c r="I18" s="30" t="inlineStr">
        <is>
          <t>High</t>
        </is>
      </c>
      <c r="J18" s="52" t="inlineStr">
        <is>
          <t>REQ-UI-15</t>
        </is>
      </c>
      <c r="K18" s="31" t="inlineStr"/>
      <c r="L18" s="52" t="inlineStr">
        <is>
          <t>[Tester]</t>
        </is>
      </c>
      <c r="M18" s="52" t="inlineStr">
        <is>
          <t>[Date]</t>
        </is>
      </c>
      <c r="N18" s="51" t="inlineStr"/>
    </row>
    <row r="19" ht="48" customHeight="1">
      <c r="A19" s="25" t="inlineStr">
        <is>
          <t>TC-UI-015</t>
        </is>
      </c>
      <c r="B19" s="26" t="inlineStr">
        <is>
          <t>Responsiveness</t>
        </is>
      </c>
      <c r="C19" s="6" t="inlineStr">
        <is>
          <t>Uji responsivitas layout pada resolusi 1366x768 s/d 1920x1080</t>
        </is>
      </c>
      <c r="D19" s="6" t="inlineStr">
        <is>
          <t>Uji coba pada beberapa ukuran viewport browser</t>
        </is>
      </c>
      <c r="E19" s="6" t="inlineStr">
        <is>
          <t>1. Atur resolusi layar ke 1366x768
2. Atur resolusi layar ke 1920x1080
3. Periksa elemen meluap (overflow)</t>
        </is>
      </c>
      <c r="F19" s="6" t="inlineStr">
        <is>
          <t>Tidak ada teks terpotong, kartu sensor tertata rapi dalam grid responsif</t>
        </is>
      </c>
      <c r="G19" s="6" t="inlineStr"/>
      <c r="H19" s="55" t="inlineStr">
        <is>
          <t>NOT TESTED</t>
        </is>
      </c>
      <c r="I19" s="25" t="inlineStr">
        <is>
          <t>High</t>
        </is>
      </c>
      <c r="J19" s="48" t="inlineStr">
        <is>
          <t>REQ-UI-16</t>
        </is>
      </c>
      <c r="K19" s="26" t="inlineStr"/>
      <c r="L19" s="48" t="inlineStr">
        <is>
          <t>[Tester]</t>
        </is>
      </c>
      <c r="M19" s="48" t="inlineStr">
        <is>
          <t>[Date]</t>
        </is>
      </c>
      <c r="N19" s="6" t="inlineStr"/>
    </row>
    <row r="20" ht="48" customHeight="1">
      <c r="A20" s="30" t="inlineStr">
        <is>
          <t>TC-UI-016</t>
        </is>
      </c>
      <c r="B20" s="31" t="inlineStr">
        <is>
          <t>Console Health</t>
        </is>
      </c>
      <c r="C20" s="51" t="inlineStr">
        <is>
          <t>Ketiadaan error JavaScript yang tidak tertangani di browser console</t>
        </is>
      </c>
      <c r="D20" s="51" t="inlineStr">
        <is>
          <t>Buka Developer Tools Console (F12)</t>
        </is>
      </c>
      <c r="E20" s="51" t="inlineStr">
        <is>
          <t>1. Jelajahi menu Operator Console, Devices, Telemetry, ISPU, Reports selama 5 menit</t>
        </is>
      </c>
      <c r="F20" s="51" t="inlineStr">
        <is>
          <t>Console bersih dari unhandled exception atau red error messages</t>
        </is>
      </c>
      <c r="G20" s="51" t="inlineStr"/>
      <c r="H20" s="56" t="inlineStr">
        <is>
          <t>NOT TESTED</t>
        </is>
      </c>
      <c r="I20" s="30" t="inlineStr">
        <is>
          <t>Critical</t>
        </is>
      </c>
      <c r="J20" s="52" t="inlineStr">
        <is>
          <t>REQ-UI-17</t>
        </is>
      </c>
      <c r="K20" s="31" t="inlineStr"/>
      <c r="L20" s="52" t="inlineStr">
        <is>
          <t>[Tester]</t>
        </is>
      </c>
      <c r="M20" s="52" t="inlineStr">
        <is>
          <t>[Date]</t>
        </is>
      </c>
      <c r="N20" s="51" t="inlineStr"/>
    </row>
  </sheetData>
  <autoFilter ref="A4:N20"/>
  <mergeCells count="2">
    <mergeCell ref="A2:N2"/>
    <mergeCell ref="A1:N1"/>
  </mergeCells>
  <conditionalFormatting sqref="H5:H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20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20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20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Historical Data &amp; Export | Doc ID: DAA-QA-001 | Version: 1.0 | Status: Draft for QA Execution | Scope: Pengujian penelusuran data historis, grafik multi-parameter, dan ekspor laporan PDF/CSV/HTML.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TC-HIST-001</t>
        </is>
      </c>
      <c r="B5" s="26" t="inlineStr">
        <is>
          <t>Historical Query</t>
        </is>
      </c>
      <c r="C5" s="6" t="inlineStr">
        <is>
          <t>Penelusuran data historis berdasarkan perangkat dan parameter</t>
        </is>
      </c>
      <c r="D5" s="6" t="inlineStr">
        <is>
          <t>Menu /#/monitoring/analysis terbuka</t>
        </is>
      </c>
      <c r="E5" s="6" t="inlineStr">
        <is>
          <t>1. Pilih Device 'AQMS-02'
2. Pilih Parameter 'pm2.5'
3. Klik Refresh</t>
        </is>
      </c>
      <c r="F5" s="6" t="inlineStr">
        <is>
          <t>Tabel dan grafik menampilkan riwayat pembacaan khusus PM2.5 pada perangkat AQMS-02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REQ-HIST-01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TC-HIST-002</t>
        </is>
      </c>
      <c r="B6" s="31" t="inlineStr">
        <is>
          <t>Historical Filter</t>
        </is>
      </c>
      <c r="C6" s="51" t="inlineStr">
        <is>
          <t>Penerapan filter rentang waktu preset dan custom date-time</t>
        </is>
      </c>
      <c r="D6" s="51" t="inlineStr">
        <is>
          <t>Tersedia data beberapa hari</t>
        </is>
      </c>
      <c r="E6" s="51" t="inlineStr">
        <is>
          <t>1. Pilih preset 'Last 24h'
2. Pilih mode 'Custom' dan masukkan start time serta end time spesifik</t>
        </is>
      </c>
      <c r="F6" s="51" t="inlineStr">
        <is>
          <t>Data yang disajikan tepat berada di dalam batas waktu yang ditentukan tanpa pergeseran zona waktu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REQ-HIST-02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TC-HIST-003</t>
        </is>
      </c>
      <c r="B7" s="26" t="inlineStr">
        <is>
          <t>Scale Modes</t>
        </is>
      </c>
      <c r="C7" s="6" t="inlineStr">
        <is>
          <t>Visualisasi kurva pada mode Normalized Scale (0 - 100%)</t>
        </is>
      </c>
      <c r="D7" s="6" t="inlineStr">
        <is>
          <t>14 parameter terpilih bersamaan</t>
        </is>
      </c>
      <c r="E7" s="6" t="inlineStr">
        <is>
          <t>1. Klik tombol 'Normalized Scale (0-100%)'</t>
        </is>
      </c>
      <c r="F7" s="6" t="inlineStr">
        <is>
          <t>Kurva seluruh parameter tertata rapi dalam rentang 0-100% memudahkan analisis korelasi</t>
        </is>
      </c>
      <c r="G7" s="6" t="inlineStr"/>
      <c r="H7" s="55" t="inlineStr">
        <is>
          <t>NOT TESTED</t>
        </is>
      </c>
      <c r="I7" s="25" t="inlineStr">
        <is>
          <t>High</t>
        </is>
      </c>
      <c r="J7" s="48" t="inlineStr">
        <is>
          <t>REQ-HIST-03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TC-HIST-004</t>
        </is>
      </c>
      <c r="B8" s="31" t="inlineStr">
        <is>
          <t>Scale Modes</t>
        </is>
      </c>
      <c r="C8" s="51" t="inlineStr">
        <is>
          <t>Visualisasi kurva pada mode Native Scale</t>
        </is>
      </c>
      <c r="D8" s="51" t="inlineStr">
        <is>
          <t>Parameter dengan satuan berbeda terpilih</t>
        </is>
      </c>
      <c r="E8" s="51" t="inlineStr">
        <is>
          <t>1. Klik tombol 'Native Scale'</t>
        </is>
      </c>
      <c r="F8" s="51" t="inlineStr">
        <is>
          <t>Sumbu Y menampilkan nilai fisik murni sesuai rentang instrumen masing-masing</t>
        </is>
      </c>
      <c r="G8" s="51" t="inlineStr"/>
      <c r="H8" s="56" t="inlineStr">
        <is>
          <t>NOT TESTED</t>
        </is>
      </c>
      <c r="I8" s="30" t="inlineStr">
        <is>
          <t>High</t>
        </is>
      </c>
      <c r="J8" s="52" t="inlineStr">
        <is>
          <t>REQ-HIST-04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TC-HIST-005</t>
        </is>
      </c>
      <c r="B9" s="26" t="inlineStr">
        <is>
          <t>Chart Interaction</t>
        </is>
      </c>
      <c r="C9" s="6" t="inlineStr">
        <is>
          <t>Interaksi tooltip grafis menampilkan timestamp dan seluruh nilai</t>
        </is>
      </c>
      <c r="D9" s="6" t="inlineStr">
        <is>
          <t>Grafik ter-render</t>
        </is>
      </c>
      <c r="E9" s="6" t="inlineStr">
        <is>
          <t>1. Arahkan mouse ke titik puncak kurva</t>
        </is>
      </c>
      <c r="F9" s="6" t="inlineStr">
        <is>
          <t>Tooltip muncul menampilkan tanggal, jam, menit, detik, dan nilai seluruh parameter aktif pada titik tersebut</t>
        </is>
      </c>
      <c r="G9" s="6" t="inlineStr"/>
      <c r="H9" s="55" t="inlineStr">
        <is>
          <t>NOT TESTED</t>
        </is>
      </c>
      <c r="I9" s="25" t="inlineStr">
        <is>
          <t>Medium</t>
        </is>
      </c>
      <c r="J9" s="48" t="inlineStr">
        <is>
          <t>REQ-HIST-05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TC-HIST-006</t>
        </is>
      </c>
      <c r="B10" s="31" t="inlineStr">
        <is>
          <t>Reporting Module</t>
        </is>
      </c>
      <c r="C10" s="51" t="inlineStr">
        <is>
          <t>Pemuatan modul pelaporan operasional (Reports View)</t>
        </is>
      </c>
      <c r="D10" s="51" t="inlineStr">
        <is>
          <t>Akses /#/monitoring/reports</t>
        </is>
      </c>
      <c r="E10" s="51" t="inlineStr">
        <is>
          <t>1. Buka halaman Reports
2. Pilih tipe laporan 'Comprehensive Operational'
3. Pilih rentang 'Last 24 Hours'</t>
        </is>
      </c>
      <c r="F10" s="51" t="inlineStr">
        <is>
          <t>Halaman memuat ringkasan eksekutif, tabel ketersediaan, dan statistik parameter</t>
        </is>
      </c>
      <c r="G10" s="51" t="inlineStr"/>
      <c r="H10" s="56" t="inlineStr">
        <is>
          <t>NOT TESTED</t>
        </is>
      </c>
      <c r="I10" s="30" t="inlineStr">
        <is>
          <t>Critical</t>
        </is>
      </c>
      <c r="J10" s="52" t="inlineStr">
        <is>
          <t>REQ-REP-01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TC-HIST-007</t>
        </is>
      </c>
      <c r="B11" s="26" t="inlineStr">
        <is>
          <t>Report Export</t>
        </is>
      </c>
      <c r="C11" s="6" t="inlineStr">
        <is>
          <t>Ekspor laporan ke format cetak PDF (Print / Save PDF)</t>
        </is>
      </c>
      <c r="D11" s="6" t="inlineStr">
        <is>
          <t>Laporan operasional telah ter-generate</t>
        </is>
      </c>
      <c r="E11" s="6" t="inlineStr">
        <is>
          <t>1. Klik tombol 'Print / Save PDF'
2. Amati jendela dialog cetak browser</t>
        </is>
      </c>
      <c r="F11" s="6" t="inlineStr">
        <is>
          <t>Laporan terformat rapi untuk ukuran kertas A4 portrait lengkap dengan kop dan penomoran halaman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REQ-REP-02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TC-HIST-008</t>
        </is>
      </c>
      <c r="B12" s="31" t="inlineStr">
        <is>
          <t>Data Export</t>
        </is>
      </c>
      <c r="C12" s="51" t="inlineStr">
        <is>
          <t>Ekspor dataset ke berkas spreadsheet CSV (CSV Export)</t>
        </is>
      </c>
      <c r="D12" s="51" t="inlineStr">
        <is>
          <t>Data historis tersedia</t>
        </is>
      </c>
      <c r="E12" s="51" t="inlineStr">
        <is>
          <t>1. Klik tombol 'CSV Export'
2. Simpan berkas .csv
3. Buka di Microsoft Excel</t>
        </is>
      </c>
      <c r="F12" s="51" t="inlineStr">
        <is>
          <t>Berkas CSV terunduh sempurna, karakter encoding UTF-8 terbaca rapi, pemisah koma teratur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REQ-EXP-01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TC-HIST-009</t>
        </is>
      </c>
      <c r="B13" s="26" t="inlineStr">
        <is>
          <t>Data Export</t>
        </is>
      </c>
      <c r="C13" s="6" t="inlineStr">
        <is>
          <t>Ekspor berkas HTML mandiri (Download HTML)</t>
        </is>
      </c>
      <c r="D13" s="6" t="inlineStr">
        <is>
          <t>Data laporan tersedia</t>
        </is>
      </c>
      <c r="E13" s="6" t="inlineStr">
        <is>
          <t>1. Klik tombol 'Download HTML'
2. Buka berkas .html secara offline tanpa koneksi internet</t>
        </is>
      </c>
      <c r="F13" s="6" t="inlineStr">
        <is>
          <t>Halaman laporan terbuka mandiri dengan styling utuh tanpa ketergantungan server eksternal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REQ-EXP-02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TC-HIST-010</t>
        </is>
      </c>
      <c r="B14" s="31" t="inlineStr">
        <is>
          <t>Column Integrity</t>
        </is>
      </c>
      <c r="C14" s="51" t="inlineStr">
        <is>
          <t>Verifikasi susunan kolom pada berkas hasil ekspor</t>
        </is>
      </c>
      <c r="D14" s="51" t="inlineStr">
        <is>
          <t>File CSV hasil ekspor dibuka</t>
        </is>
      </c>
      <c r="E14" s="51" t="inlineStr">
        <is>
          <t>1. Periksa header kolom</t>
        </is>
      </c>
      <c r="F14" s="51" t="inlineStr">
        <is>
          <t>Header memuat Timestamp, Device Code, Parameter Name, Value, Unit, Quality Status secara konsisten</t>
        </is>
      </c>
      <c r="G14" s="51" t="inlineStr"/>
      <c r="H14" s="56" t="inlineStr">
        <is>
          <t>NOT TESTED</t>
        </is>
      </c>
      <c r="I14" s="30" t="inlineStr">
        <is>
          <t>High</t>
        </is>
      </c>
      <c r="J14" s="52" t="inlineStr">
        <is>
          <t>REQ-EXP-03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TC-HIST-011</t>
        </is>
      </c>
      <c r="B15" s="26" t="inlineStr">
        <is>
          <t>Empty Handling</t>
        </is>
      </c>
      <c r="C15" s="6" t="inlineStr">
        <is>
          <t>Penanganan ekspor pada periode tanpa data</t>
        </is>
      </c>
      <c r="D15" s="6" t="inlineStr">
        <is>
          <t>Pilih rentang tanggal di masa depan yang belum memiliki data</t>
        </is>
      </c>
      <c r="E15" s="6" t="inlineStr">
        <is>
          <t>1. Klik 'CSV Export'</t>
        </is>
      </c>
      <c r="F15" s="6" t="inlineStr">
        <is>
          <t>Sistem menampilkan notifikasi informatif bahwa tidak ada data pada periode tersebut tanpa error 500</t>
        </is>
      </c>
      <c r="G15" s="6" t="inlineStr"/>
      <c r="H15" s="55" t="inlineStr">
        <is>
          <t>NOT TESTED</t>
        </is>
      </c>
      <c r="I15" s="25" t="inlineStr">
        <is>
          <t>Medium</t>
        </is>
      </c>
      <c r="J15" s="48" t="inlineStr">
        <is>
          <t>REQ-EXP-04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TC-HIST-012</t>
        </is>
      </c>
      <c r="B16" s="31" t="inlineStr">
        <is>
          <t>Performance</t>
        </is>
      </c>
      <c r="C16" s="51" t="inlineStr">
        <is>
          <t>Penanganan ekspor dataset besar (&gt; 50.000 baris)</t>
        </is>
      </c>
      <c r="D16" s="51" t="inlineStr">
        <is>
          <t>Rentang pencarian 30 hari data</t>
        </is>
      </c>
      <c r="E16" s="51" t="inlineStr">
        <is>
          <t>1. Jalankan ekspor dataset 30 hari
2. Amati waktu eksekusi</t>
        </is>
      </c>
      <c r="F16" s="51" t="inlineStr">
        <is>
          <t>Backend melakukan streaming data secara efisien tanpa kehabisan memori (heap out of memory)</t>
        </is>
      </c>
      <c r="G16" s="51" t="inlineStr"/>
      <c r="H16" s="56" t="inlineStr">
        <is>
          <t>NOT TESTED</t>
        </is>
      </c>
      <c r="I16" s="30" t="inlineStr">
        <is>
          <t>High</t>
        </is>
      </c>
      <c r="J16" s="52" t="inlineStr">
        <is>
          <t>REQ-EXP-05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</sheetData>
  <autoFilter ref="A4:N16"/>
  <mergeCells count="2">
    <mergeCell ref="A2:N2"/>
    <mergeCell ref="A1:N1"/>
  </mergeCells>
  <conditionalFormatting sqref="H5:H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6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6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6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Alarm, Logs &amp; Audit Trail | Doc ID: DAA-QA-001 | Version: 1.0 | Status: Draft for QA Execution | Scope: Pengujian pemicu alarm batas ambang, sensor macet, timeout, riwayat alarm, dan audit trail.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TC-ALM-001</t>
        </is>
      </c>
      <c r="B5" s="26" t="inlineStr">
        <is>
          <t>Alarm Trigger</t>
        </is>
      </c>
      <c r="C5" s="6" t="inlineStr">
        <is>
          <t>Pemicu alarm batas ambang atas (Threshold Warning / Critical High)</t>
        </is>
      </c>
      <c r="D5" s="6" t="inlineStr">
        <is>
          <t>Parameter PM10 memiliki warning_high = 150 ug/m3</t>
        </is>
      </c>
      <c r="E5" s="6" t="inlineStr">
        <is>
          <t>1. Kirim nilai konsentrasi PM10 = 180 ug/m3
2. Amati menu Active Incidents</t>
        </is>
      </c>
      <c r="F5" s="6" t="inlineStr">
        <is>
          <t>Alarm THRESHOLD_WARNING_HIGH muncul seketika dengan status ACTIVE dan warna kuning/merah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REQ-ALM-01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TC-ALM-002</t>
        </is>
      </c>
      <c r="B6" s="31" t="inlineStr">
        <is>
          <t>Alarm Trigger</t>
        </is>
      </c>
      <c r="C6" s="51" t="inlineStr">
        <is>
          <t>Pemicu alarm nilai sensor membeku (DATA_ABNORMALITY_STUCK_VALUE)</t>
        </is>
      </c>
      <c r="D6" s="51" t="inlineStr">
        <is>
          <t>Parameter O3 menerima 10 nilai persis sama (misal 34.00) selama 45 detik</t>
        </is>
      </c>
      <c r="E6" s="51" t="inlineStr">
        <is>
          <t>1. Kirim nilai konstan berulang
2. Amati deteksi anomali</t>
        </is>
      </c>
      <c r="F6" s="51" t="inlineStr">
        <is>
          <t>Alarm DATA_ABNORMALITY_STUCK_VALUE terpicu menandakan sensor macet atau transmitter beku</t>
        </is>
      </c>
      <c r="G6" s="51" t="inlineStr"/>
      <c r="H6" s="56" t="inlineStr">
        <is>
          <t>NOT TESTED</t>
        </is>
      </c>
      <c r="I6" s="30" t="inlineStr">
        <is>
          <t>Critical</t>
        </is>
      </c>
      <c r="J6" s="52" t="inlineStr">
        <is>
          <t>REQ-ALM-02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TC-ALM-003</t>
        </is>
      </c>
      <c r="B7" s="26" t="inlineStr">
        <is>
          <t>Alarm Trigger</t>
        </is>
      </c>
      <c r="C7" s="6" t="inlineStr">
        <is>
          <t>Pemicu alarm kegagalan komunikasi (COMM_MODBUS_TIMEOUT / DEVICE_OFFLINE)</t>
        </is>
      </c>
      <c r="D7" s="6" t="inlineStr">
        <is>
          <t>Kabel komunikasi dilepas selama &gt; 30 detik</t>
        </is>
      </c>
      <c r="E7" s="6" t="inlineStr">
        <is>
          <t>1. Putus koneksi Modbus perangkat AQMS-02
2. Amati Active Alarms</t>
        </is>
      </c>
      <c r="F7" s="6" t="inlineStr">
        <is>
          <t>Alarm kegagalan komunikasi muncul dengan severity CRITICAL</t>
        </is>
      </c>
      <c r="G7" s="6" t="inlineStr"/>
      <c r="H7" s="55" t="inlineStr">
        <is>
          <t>NOT TESTED</t>
        </is>
      </c>
      <c r="I7" s="25" t="inlineStr">
        <is>
          <t>Critical</t>
        </is>
      </c>
      <c r="J7" s="48" t="inlineStr">
        <is>
          <t>REQ-ALM-03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TC-ALM-004</t>
        </is>
      </c>
      <c r="B8" s="31" t="inlineStr">
        <is>
          <t>Severity Hierarchy</t>
        </is>
      </c>
      <c r="C8" s="51" t="inlineStr">
        <is>
          <t>Klasifikasi severity alarm (CRITICAL, WARNING, INFO)</t>
        </is>
      </c>
      <c r="D8" s="51" t="inlineStr">
        <is>
          <t>Beberapa insiden terjadi bersamaan</t>
        </is>
      </c>
      <c r="E8" s="51" t="inlineStr">
        <is>
          <t>1. Periksa pengurutan pada daftar alarm aktif</t>
        </is>
      </c>
      <c r="F8" s="51" t="inlineStr">
        <is>
          <t>Insiden terurut berdasarkan keparahan (CRITICAL di posisi teratas) dengan badge warna yang tepat</t>
        </is>
      </c>
      <c r="G8" s="51" t="inlineStr"/>
      <c r="H8" s="56" t="inlineStr">
        <is>
          <t>NOT TESTED</t>
        </is>
      </c>
      <c r="I8" s="30" t="inlineStr">
        <is>
          <t>High</t>
        </is>
      </c>
      <c r="J8" s="52" t="inlineStr">
        <is>
          <t>REQ-ALM-04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TC-ALM-005</t>
        </is>
      </c>
      <c r="B9" s="26" t="inlineStr">
        <is>
          <t>Header Notification</t>
        </is>
      </c>
      <c r="C9" s="6" t="inlineStr">
        <is>
          <t>Lonceng notifikasi pada header memperbarui badge jumlah alarm</t>
        </is>
      </c>
      <c r="D9" s="6" t="inlineStr">
        <is>
          <t>Terjadi 2 alarm aktif baru</t>
        </is>
      </c>
      <c r="E9" s="6" t="inlineStr">
        <is>
          <t>1. Periksa ikon lonceng pada bilah Header atas</t>
        </is>
      </c>
      <c r="F9" s="6" t="inlineStr">
        <is>
          <t>Badge merah menampilkan angka '2' dengan animasi denyut pulsatif</t>
        </is>
      </c>
      <c r="G9" s="6" t="inlineStr"/>
      <c r="H9" s="55" t="inlineStr">
        <is>
          <t>NOT TESTED</t>
        </is>
      </c>
      <c r="I9" s="25" t="inlineStr">
        <is>
          <t>High</t>
        </is>
      </c>
      <c r="J9" s="48" t="inlineStr">
        <is>
          <t>REQ-ALM-05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TC-ALM-006</t>
        </is>
      </c>
      <c r="B10" s="31" t="inlineStr">
        <is>
          <t>Acknowledgment</t>
        </is>
      </c>
      <c r="C10" s="51" t="inlineStr">
        <is>
          <t>Prosedur pengakuan alarm (Acknowledge) oleh Operator</t>
        </is>
      </c>
      <c r="D10" s="51" t="inlineStr">
        <is>
          <t>Terdapat alarm berstatus ACTIVE</t>
        </is>
      </c>
      <c r="E10" s="51" t="inlineStr">
        <is>
          <t>1. Operator mengeklik tombol 'Acknowledge' pada baris alarm
2. Masukkan catatan penanganan</t>
        </is>
      </c>
      <c r="F10" s="51" t="inlineStr">
        <is>
          <t>Status alarm berubah menjadi ACKNOWLEDGED, nama operator dan timestamp acknowledgment tercatat</t>
        </is>
      </c>
      <c r="G10" s="51" t="inlineStr"/>
      <c r="H10" s="56" t="inlineStr">
        <is>
          <t>NOT TESTED</t>
        </is>
      </c>
      <c r="I10" s="30" t="inlineStr">
        <is>
          <t>Critical</t>
        </is>
      </c>
      <c r="J10" s="52" t="inlineStr">
        <is>
          <t>REQ-ALM-06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TC-ALM-007</t>
        </is>
      </c>
      <c r="B11" s="26" t="inlineStr">
        <is>
          <t>Alarm History</t>
        </is>
      </c>
      <c r="C11" s="6" t="inlineStr">
        <is>
          <t>Penelusuran riwayat alarm dan durasi gangguan (Alarm History)</t>
        </is>
      </c>
      <c r="D11" s="6" t="inlineStr">
        <is>
          <t>Insiden telah selesai</t>
        </is>
      </c>
      <c r="E11" s="6" t="inlineStr">
        <is>
          <t>1. Buka tab Alarm History (/#/alarm/history)
2. Periksa detail kejadian</t>
        </is>
      </c>
      <c r="F11" s="6" t="inlineStr">
        <is>
          <t>Riwayat mencatat waktu mulai, waktu diakui, waktu pulih, durasi (misal: '19s'), dan status CLEARED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REQ-ALM-07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TC-ALM-008</t>
        </is>
      </c>
      <c r="B12" s="31" t="inlineStr">
        <is>
          <t>Auto-Recovery</t>
        </is>
      </c>
      <c r="C12" s="51" t="inlineStr">
        <is>
          <t>Pemulihan otomatis alarm (Auto-Clear) saat kondisi normal kembali</t>
        </is>
      </c>
      <c r="D12" s="51" t="inlineStr">
        <is>
          <t>Alarm konsentrasi tinggi aktif</t>
        </is>
      </c>
      <c r="E12" s="51" t="inlineStr">
        <is>
          <t>1. Kembalikan nilai konsentrasi sensor ke bawah ambang batas normal
2. Amati status alarm</t>
        </is>
      </c>
      <c r="F12" s="51" t="inlineStr">
        <is>
          <t>Alarm otomatis beralih status ke CLEARED dengan alasan 'Condition normalized / auto-cleared'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REQ-ALM-08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TC-ALM-009</t>
        </is>
      </c>
      <c r="B13" s="26" t="inlineStr">
        <is>
          <t>Audit Trail</t>
        </is>
      </c>
      <c r="C13" s="6" t="inlineStr">
        <is>
          <t>Pencatatan aktivitas pengguna pada audit trail</t>
        </is>
      </c>
      <c r="D13" s="6" t="inlineStr">
        <is>
          <t>Pengguna melakukan login, mengubah parameter, atau me-reset password</t>
        </is>
      </c>
      <c r="E13" s="6" t="inlineStr">
        <is>
          <t>1. Buka menu /#/system/logs tab Audit Trails
2. Periksa daftar log aktivitas</t>
        </is>
      </c>
      <c r="F13" s="6" t="inlineStr">
        <is>
          <t>Tercatat aksi pengguna, username pelaksana, IP klien, modul terkait, dan timestamp kejadian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REQ-LOG-03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TC-ALM-010</t>
        </is>
      </c>
      <c r="B14" s="31" t="inlineStr">
        <is>
          <t>System Logs</t>
        </is>
      </c>
      <c r="C14" s="51" t="inlineStr">
        <is>
          <t>Pencatatan pesan error sistem dengan stack trace diagnostik</t>
        </is>
      </c>
      <c r="D14" s="51" t="inlineStr">
        <is>
          <t>Terjadi error query database atau timeout Modbus</t>
        </is>
      </c>
      <c r="E14" s="51" t="inlineStr">
        <is>
          <t>1. Buka tab System Logs</t>
        </is>
      </c>
      <c r="F14" s="51" t="inlineStr">
        <is>
          <t>Pesan error tercatat dengan level [ERROR], kode fungsi, dan informasi penunjang investigasi</t>
        </is>
      </c>
      <c r="G14" s="51" t="inlineStr"/>
      <c r="H14" s="56" t="inlineStr">
        <is>
          <t>NOT TESTED</t>
        </is>
      </c>
      <c r="I14" s="30" t="inlineStr">
        <is>
          <t>Medium</t>
        </is>
      </c>
      <c r="J14" s="52" t="inlineStr">
        <is>
          <t>REQ-LOG-04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TC-ALM-011</t>
        </is>
      </c>
      <c r="B15" s="26" t="inlineStr">
        <is>
          <t>Security Hygiene</t>
        </is>
      </c>
      <c r="C15" s="6" t="inlineStr">
        <is>
          <t>Audit ketiadaan kebocoran password pada log sistem</t>
        </is>
      </c>
      <c r="D15" s="6" t="inlineStr">
        <is>
          <t>Pengguna melakukan ganti password</t>
        </is>
      </c>
      <c r="E15" s="6" t="inlineStr">
        <is>
          <t>1. Periksa seluruh entri audit trail dan log</t>
        </is>
      </c>
      <c r="F15" s="6" t="inlineStr">
        <is>
          <t>Tidak ada plain text password yang dicatat pada payload log</t>
        </is>
      </c>
      <c r="G15" s="6" t="inlineStr"/>
      <c r="H15" s="55" t="inlineStr">
        <is>
          <t>NOT TESTED</t>
        </is>
      </c>
      <c r="I15" s="25" t="inlineStr">
        <is>
          <t>Critical</t>
        </is>
      </c>
      <c r="J15" s="48" t="inlineStr">
        <is>
          <t>REQ-SEC-03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TC-ALM-012</t>
        </is>
      </c>
      <c r="B16" s="31" t="inlineStr">
        <is>
          <t>Notification Queue</t>
        </is>
      </c>
      <c r="C16" s="51" t="inlineStr">
        <is>
          <t>Antrean pengiriman notifikasi alarm (Delivery Queue)</t>
        </is>
      </c>
      <c r="D16" s="51" t="inlineStr">
        <is>
          <t>Saluran notifikasi dikonfigurasi (Telegram / Webhook / Email)</t>
        </is>
      </c>
      <c r="E16" s="51" t="inlineStr">
        <is>
          <t>1. Alarm kritis terpicu
2. Periksa tab Delivery Queue</t>
        </is>
      </c>
      <c r="F16" s="51" t="inlineStr">
        <is>
          <t>Pesan notifikasi masuk ke antrean dan status pengiriman terpantau (Pending / Delivered / Retry)</t>
        </is>
      </c>
      <c r="G16" s="51" t="inlineStr"/>
      <c r="H16" s="56" t="inlineStr">
        <is>
          <t>NOT TESTED</t>
        </is>
      </c>
      <c r="I16" s="30" t="inlineStr">
        <is>
          <t>High</t>
        </is>
      </c>
      <c r="J16" s="52" t="inlineStr">
        <is>
          <t>REQ-NOTIF-01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</sheetData>
  <autoFilter ref="A4:N16"/>
  <mergeCells count="2">
    <mergeCell ref="A2:N2"/>
    <mergeCell ref="A1:N1"/>
  </mergeCells>
  <conditionalFormatting sqref="H5:H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6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6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6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Backup, Restore &amp; Retention | Doc ID: DAA-QA-001 | Version: 1.0 | Status: Draft for QA Execution | Scope: Pengujian pencadangan database, fast polling progress modal, restore terisolasi, dan housekeeping retensi.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TC-BCK-001</t>
        </is>
      </c>
      <c r="B5" s="26" t="inlineStr">
        <is>
          <t>Backup Creation</t>
        </is>
      </c>
      <c r="C5" s="6" t="inlineStr">
        <is>
          <t>Pembuatan snapshot backup database dan konfigurasi via UI</t>
        </is>
      </c>
      <c r="D5" s="6" t="inlineStr">
        <is>
          <t>Login sebagai Admin/Superadmin pada menu Backup &amp; Restore</t>
        </is>
      </c>
      <c r="E5" s="6" t="inlineStr">
        <is>
          <t>1. Klik tombol 'Create New Backup'
2. Masukkan deskripsi backup
3. Konfirmasi eksekusi</t>
        </is>
      </c>
      <c r="F5" s="6" t="inlineStr">
        <is>
          <t>Proses backup dimulai dan menghasilkan file snapshot terkompresi .tar.gz / .sql.gz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REQ-BCK-01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TC-BCK-002</t>
        </is>
      </c>
      <c r="B6" s="31" t="inlineStr">
        <is>
          <t>Progress Modal</t>
        </is>
      </c>
      <c r="C6" s="51" t="inlineStr">
        <is>
          <t>Modal pemantauan progres backup dengan fast polling (350ms)</t>
        </is>
      </c>
      <c r="D6" s="51" t="inlineStr">
        <is>
          <t>Proses backup sedang berjalan</t>
        </is>
      </c>
      <c r="E6" s="51" t="inlineStr">
        <is>
          <t>1. Amati modal dialog progres backup</t>
        </is>
      </c>
      <c r="F6" s="51" t="inlineStr">
        <is>
          <t>Modal menampilkan bar progres persentase riil (0% - 100%) dan status tahapan tanpa macet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REQ-BCK-02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TC-BCK-003</t>
        </is>
      </c>
      <c r="B7" s="26" t="inlineStr">
        <is>
          <t>Archive Integrity</t>
        </is>
      </c>
      <c r="C7" s="6" t="inlineStr">
        <is>
          <t>Verifikasi integritas file backup yang dihasilkan</t>
        </is>
      </c>
      <c r="D7" s="6" t="inlineStr">
        <is>
          <t>File backup telah terbuat di direktori data/backups</t>
        </is>
      </c>
      <c r="E7" s="6" t="inlineStr">
        <is>
          <t>1. Uji ekstraksi file arsip menggunakan tar/gzip
2. Periksa kelengkapan isi dump SQL</t>
        </is>
      </c>
      <c r="F7" s="6" t="inlineStr">
        <is>
          <t>File arsip valid, tidak korup, dan memuat skema tabel serta data telemetri secara utuh</t>
        </is>
      </c>
      <c r="G7" s="6" t="inlineStr"/>
      <c r="H7" s="55" t="inlineStr">
        <is>
          <t>NOT TESTED</t>
        </is>
      </c>
      <c r="I7" s="25" t="inlineStr">
        <is>
          <t>Critical</t>
        </is>
      </c>
      <c r="J7" s="48" t="inlineStr">
        <is>
          <t>REQ-BCK-03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TC-BCK-004</t>
        </is>
      </c>
      <c r="B8" s="31" t="inlineStr">
        <is>
          <t>Restore Procedure</t>
        </is>
      </c>
      <c r="C8" s="51" t="inlineStr">
        <is>
          <t>Pengujian pemulihan data (Restore) pada lingkungan uji terisolasi</t>
        </is>
      </c>
      <c r="D8" s="51" t="inlineStr">
        <is>
          <t>Tersedia file backup snapshot yang valid</t>
        </is>
      </c>
      <c r="E8" s="51" t="inlineStr">
        <is>
          <t>1. Jalankan fungsi restore pada database pengujian
2. Amati log eksekusi SQL</t>
        </is>
      </c>
      <c r="F8" s="51" t="inlineStr">
        <is>
          <t>Seluruh tabel dan data berhasil diimpor kembali dengan status sukses 100%</t>
        </is>
      </c>
      <c r="G8" s="51" t="inlineStr"/>
      <c r="H8" s="56" t="inlineStr">
        <is>
          <t>NOT TESTED</t>
        </is>
      </c>
      <c r="I8" s="30" t="inlineStr">
        <is>
          <t>Critical</t>
        </is>
      </c>
      <c r="J8" s="52" t="inlineStr">
        <is>
          <t>REQ-BCK-04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TC-BCK-005</t>
        </is>
      </c>
      <c r="B9" s="26" t="inlineStr">
        <is>
          <t>Configuration Restore</t>
        </is>
      </c>
      <c r="C9" s="6" t="inlineStr">
        <is>
          <t>Pemulihan konfigurasi perangkat dan parameter pasca restore</t>
        </is>
      </c>
      <c r="D9" s="6" t="inlineStr">
        <is>
          <t>Data hasil restore telah dimuat</t>
        </is>
      </c>
      <c r="E9" s="6" t="inlineStr">
        <is>
          <t>1. Periksa daftar perangkat, baud rate, formula, dan batas ambang alarm</t>
        </is>
      </c>
      <c r="F9" s="6" t="inlineStr">
        <is>
          <t>Seluruh parameter konfigurasi pulih identik dengan kondisi saat backup dibuat</t>
        </is>
      </c>
      <c r="G9" s="6" t="inlineStr"/>
      <c r="H9" s="55" t="inlineStr">
        <is>
          <t>NOT TESTED</t>
        </is>
      </c>
      <c r="I9" s="25" t="inlineStr">
        <is>
          <t>Critical</t>
        </is>
      </c>
      <c r="J9" s="48" t="inlineStr">
        <is>
          <t>REQ-BCK-05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TC-BCK-006</t>
        </is>
      </c>
      <c r="B10" s="31" t="inlineStr">
        <is>
          <t>Disaster Recovery</t>
        </is>
      </c>
      <c r="C10" s="51" t="inlineStr">
        <is>
          <t>Verifikasi prosedur manual recovery dari file snapshot</t>
        </is>
      </c>
      <c r="D10" s="51" t="inlineStr">
        <is>
          <t>Skenario server mengalami kerusakan sistem operasi</t>
        </is>
      </c>
      <c r="E10" s="51" t="inlineStr">
        <is>
          <t>1. Lakukan instalasi ulang aplikasi di server baru
2. Letakkan file backup pada direktori restore
3. Eksekusi restore manual via CLI</t>
        </is>
      </c>
      <c r="F10" s="51" t="inlineStr">
        <is>
          <t>Sistem beroperasi normal kembali dengan data historis utuh dalam waktu &lt; 15 menit</t>
        </is>
      </c>
      <c r="G10" s="51" t="inlineStr"/>
      <c r="H10" s="56" t="inlineStr">
        <is>
          <t>NOT TESTED</t>
        </is>
      </c>
      <c r="I10" s="30" t="inlineStr">
        <is>
          <t>High</t>
        </is>
      </c>
      <c r="J10" s="52" t="inlineStr">
        <is>
          <t>REQ-BCK-06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TC-BCK-007</t>
        </is>
      </c>
      <c r="B11" s="26" t="inlineStr">
        <is>
          <t>Retention Policy</t>
        </is>
      </c>
      <c r="C11" s="6" t="inlineStr">
        <is>
          <t>Konfigurasi kebijakan retensi penyimpanan (Retention Storage)</t>
        </is>
      </c>
      <c r="D11" s="6" t="inlineStr">
        <is>
          <t>Menu /#/administration/retention terbuka</t>
        </is>
      </c>
      <c r="E11" s="6" t="inlineStr">
        <is>
          <t>1. Atur retensi data mentah = 90 hari, data agregasi 1m = 180 hari, data 1h = 365 hari
2. Simpan</t>
        </is>
      </c>
      <c r="F11" s="6" t="inlineStr">
        <is>
          <t>Kebijakan batas hari tersimpan dalam tabel konfigurasi sistem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REQ-RET-01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TC-BCK-008</t>
        </is>
      </c>
      <c r="B12" s="31" t="inlineStr">
        <is>
          <t>Housekeeping</t>
        </is>
      </c>
      <c r="C12" s="51" t="inlineStr">
        <is>
          <t>Eksekusi otomatis pembersihan data kadaluarsa (Housekeeping Cleaner)</t>
        </is>
      </c>
      <c r="D12" s="51" t="inlineStr">
        <is>
          <t>Terdapat data uji dengan timestamp lebih tua dari batas retensi (misal 100 hari lalu)</t>
        </is>
      </c>
      <c r="E12" s="51" t="inlineStr">
        <is>
          <t>1. Picu housekeeping runner
2. Periksa data lama dan data baru di database</t>
        </is>
      </c>
      <c r="F12" s="51" t="inlineStr">
        <is>
          <t>Data di luar batas retensi terhapus aman, data dalam periode retensi tetap terjaga 100%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REQ-RET-02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TC-BCK-009</t>
        </is>
      </c>
      <c r="B13" s="26" t="inlineStr">
        <is>
          <t>Storage Monitoring</t>
        </is>
      </c>
      <c r="C13" s="6" t="inlineStr">
        <is>
          <t>Pemantauan kapasitas storage disk dan peringatan kuota</t>
        </is>
      </c>
      <c r="D13" s="6" t="inlineStr">
        <is>
          <t>Menu Retention Storage</t>
        </is>
      </c>
      <c r="E13" s="6" t="inlineStr">
        <is>
          <t>1. Periksa kartu Storage Volume, Database Size, dan Free Disk Space</t>
        </is>
      </c>
      <c r="F13" s="6" t="inlineStr">
        <is>
          <t>Kapasitas hard disk server terpantau akurat dengan progress bar kapasitas terpakai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REQ-RET-03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TC-BCK-010</t>
        </is>
      </c>
      <c r="B14" s="31" t="inlineStr">
        <is>
          <t>Error Logging</t>
        </is>
      </c>
      <c r="C14" s="51" t="inlineStr">
        <is>
          <t>Penanganan kegagalan backup saat disk server penuh</t>
        </is>
      </c>
      <c r="D14" s="51" t="inlineStr">
        <is>
          <t>Simulasi partisi disk backup penuh (disk full)</t>
        </is>
      </c>
      <c r="E14" s="51" t="inlineStr">
        <is>
          <t>1. Jalankan proses backup</t>
        </is>
      </c>
      <c r="F14" s="51" t="inlineStr">
        <is>
          <t>Sistem membatalkan proses dengan aman, mengembalikan pesan error jelas, dan mencatat di log</t>
        </is>
      </c>
      <c r="G14" s="51" t="inlineStr"/>
      <c r="H14" s="56" t="inlineStr">
        <is>
          <t>NOT TESTED</t>
        </is>
      </c>
      <c r="I14" s="30" t="inlineStr">
        <is>
          <t>High</t>
        </is>
      </c>
      <c r="J14" s="52" t="inlineStr">
        <is>
          <t>REQ-BCK-07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</sheetData>
  <autoFilter ref="A4:N14"/>
  <mergeCells count="2">
    <mergeCell ref="A2:N2"/>
    <mergeCell ref="A1:N1"/>
  </mergeCells>
  <conditionalFormatting sqref="H5:H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4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4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4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Performance &amp; Security | Doc ID: DAA-QA-001 | Version: 1.0 | Status: Draft for QA Execution | Scope: Pengujian kinerja server (CPU, RAM, DB latency), stabilitas polling 24 jam, dan keamanan sistem.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TC-SEC-001</t>
        </is>
      </c>
      <c r="B5" s="26" t="inlineStr">
        <is>
          <t>Response Time</t>
        </is>
      </c>
      <c r="C5" s="6" t="inlineStr">
        <is>
          <t>Pengukuran waktu muat halaman utama dashboard SCADA</t>
        </is>
      </c>
      <c r="D5" s="6" t="inlineStr">
        <is>
          <t>Workstation terhubung ke jaringan LAN stasiun</t>
        </is>
      </c>
      <c r="E5" s="6" t="inlineStr">
        <is>
          <t>1. Buka DevTools Network tab
2. Lakukan hard reload (Ctrl+F5) pada Operator Console
3. Catat DOMContentLoaded dan Finish time</t>
        </is>
      </c>
      <c r="F5" s="6" t="inlineStr">
        <is>
          <t>Waktu muat penuh halaman &lt; 2.0 detik pada jaringan lokal</t>
        </is>
      </c>
      <c r="G5" s="6" t="inlineStr"/>
      <c r="H5" s="55" t="inlineStr">
        <is>
          <t>NOT TESTED</t>
        </is>
      </c>
      <c r="I5" s="25" t="inlineStr">
        <is>
          <t>High</t>
        </is>
      </c>
      <c r="J5" s="48" t="inlineStr">
        <is>
          <t>REQ-PERF-01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TC-SEC-002</t>
        </is>
      </c>
      <c r="B6" s="31" t="inlineStr">
        <is>
          <t>API Latency</t>
        </is>
      </c>
      <c r="C6" s="51" t="inlineStr">
        <is>
          <t>Pengukuran latensi respons API inti (/api/system/health, /api/devices)</t>
        </is>
      </c>
      <c r="D6" s="51" t="inlineStr">
        <is>
          <t>Aplikasi berjalan normal</t>
        </is>
      </c>
      <c r="E6" s="51" t="inlineStr">
        <is>
          <t>1. Jalankan 100 request cURL berurutan ke endpoint health dan devices
2. Hitung rata-rata latensi</t>
        </is>
      </c>
      <c r="F6" s="51" t="inlineStr">
        <is>
          <t>Rata-rata waktu respons API &lt; 50ms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REQ-PERF-02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TC-SEC-003</t>
        </is>
      </c>
      <c r="B7" s="26" t="inlineStr">
        <is>
          <t>Polling Stability</t>
        </is>
      </c>
      <c r="C7" s="6" t="inlineStr">
        <is>
          <t>Stabilitas siklus polling Modbus kontinu selama 24 jam pengujian</t>
        </is>
      </c>
      <c r="D7" s="6" t="inlineStr">
        <is>
          <t>Stasiun terhubung dengan 2 perangkat (14 parameter)</t>
        </is>
      </c>
      <c r="E7" s="6" t="inlineStr">
        <is>
          <t>1. Jalankan polling kontinu selama 24 jam non-stop
2. Catat jumlah siklus berhasil vs gagal</t>
        </is>
      </c>
      <c r="F7" s="6" t="inlineStr">
        <is>
          <t>Tingkat keberhasilan polling &gt; 99.0% tanpa crash atau starvation worker</t>
        </is>
      </c>
      <c r="G7" s="6" t="inlineStr"/>
      <c r="H7" s="55" t="inlineStr">
        <is>
          <t>NOT TESTED</t>
        </is>
      </c>
      <c r="I7" s="25" t="inlineStr">
        <is>
          <t>Critical</t>
        </is>
      </c>
      <c r="J7" s="48" t="inlineStr">
        <is>
          <t>REQ-PERF-03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TC-SEC-004</t>
        </is>
      </c>
      <c r="B8" s="31" t="inlineStr">
        <is>
          <t>Resource Utilization</t>
        </is>
      </c>
      <c r="C8" s="51" t="inlineStr">
        <is>
          <t>Monitoring penggunaan beban CPU Host dan proses aplikasi</t>
        </is>
      </c>
      <c r="D8" s="51" t="inlineStr">
        <is>
          <t>Polling aktif dengan interval 5000ms pada Raspberry Pi 4 / PC industri</t>
        </is>
      </c>
      <c r="E8" s="51" t="inlineStr">
        <is>
          <t>1. Pantau via htop / menu System Monitoring selama beban normal</t>
        </is>
      </c>
      <c r="F8" s="51" t="inlineStr">
        <is>
          <t>CPU Host &lt; 65%, CPU proses Go backend &lt; 10% stabil</t>
        </is>
      </c>
      <c r="G8" s="51" t="inlineStr"/>
      <c r="H8" s="56" t="inlineStr">
        <is>
          <t>NOT TESTED</t>
        </is>
      </c>
      <c r="I8" s="30" t="inlineStr">
        <is>
          <t>High</t>
        </is>
      </c>
      <c r="J8" s="52" t="inlineStr">
        <is>
          <t>REQ-PERF-04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TC-SEC-005</t>
        </is>
      </c>
      <c r="B9" s="26" t="inlineStr">
        <is>
          <t>Memory Leak Audit</t>
        </is>
      </c>
      <c r="C9" s="6" t="inlineStr">
        <is>
          <t>Audit kebocoran memori RAM (Resident Set Size - RSS) jangka panjang</t>
        </is>
      </c>
      <c r="D9" s="6" t="inlineStr">
        <is>
          <t>Aplikasi beroperasi selama minimal 48 jam</t>
        </is>
      </c>
      <c r="E9" s="6" t="inlineStr">
        <is>
          <t>1. Catat memori RSS backend setiap 6 jam
2. Evaluasi grafik alokasi heap Go runtime</t>
        </is>
      </c>
      <c r="F9" s="6" t="inlineStr">
        <is>
          <t>Memori RSS stabil mendatar (plateau) tanpa tren peningkatan linier yang mengindikasikan memory leak</t>
        </is>
      </c>
      <c r="G9" s="6" t="inlineStr"/>
      <c r="H9" s="55" t="inlineStr">
        <is>
          <t>NOT TESTED</t>
        </is>
      </c>
      <c r="I9" s="25" t="inlineStr">
        <is>
          <t>Critical</t>
        </is>
      </c>
      <c r="J9" s="48" t="inlineStr">
        <is>
          <t>REQ-PERF-05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TC-SEC-006</t>
        </is>
      </c>
      <c r="B10" s="31" t="inlineStr">
        <is>
          <t>Database Performance</t>
        </is>
      </c>
      <c r="C10" s="51" t="inlineStr">
        <is>
          <t>Latensi query MariaDB Edge di bawah beban telemetri intensif</t>
        </is>
      </c>
      <c r="D10" s="51" t="inlineStr">
        <is>
          <t>Tabel telemetry_readings memuat &gt; 500.000 baris data</t>
        </is>
      </c>
      <c r="E10" s="51" t="inlineStr">
        <is>
          <t>1. Jalankan query agregasi dan penelusuran data historis
2. Amati parameter db_latency_ms di System Health</t>
        </is>
      </c>
      <c r="F10" s="51" t="inlineStr">
        <is>
          <t>Latensi database konsisten &lt; 30ms berkat indeks komposit yang optimal</t>
        </is>
      </c>
      <c r="G10" s="51" t="inlineStr"/>
      <c r="H10" s="56" t="inlineStr">
        <is>
          <t>NOT TESTED</t>
        </is>
      </c>
      <c r="I10" s="30" t="inlineStr">
        <is>
          <t>High</t>
        </is>
      </c>
      <c r="J10" s="52" t="inlineStr">
        <is>
          <t>REQ-PERF-06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TC-SEC-007</t>
        </is>
      </c>
      <c r="B11" s="26" t="inlineStr">
        <is>
          <t>Input Sanitization</t>
        </is>
      </c>
      <c r="C11" s="6" t="inlineStr">
        <is>
          <t>Pengujian sanitasi input terhadap serangan SQL Injection</t>
        </is>
      </c>
      <c r="D11" s="6" t="inlineStr">
        <is>
          <t>Field input filter dan form konfigurasi</t>
        </is>
      </c>
      <c r="E11" s="6" t="inlineStr">
        <is>
          <t>1. Masukkan payload SQLi seperti '' OR '1'='1' --' pada kolom pencarian dan form parameter</t>
        </is>
      </c>
      <c r="F11" s="6" t="inlineStr">
        <is>
          <t>ORM / Prepared Statement mengamankan query, tidak terjadi bypass otentikasi atau kebocoran data</t>
        </is>
      </c>
      <c r="G11" s="6" t="inlineStr"/>
      <c r="H11" s="55" t="inlineStr">
        <is>
          <t>NOT TESTED</t>
        </is>
      </c>
      <c r="I11" s="25" t="inlineStr">
        <is>
          <t>Critical</t>
        </is>
      </c>
      <c r="J11" s="48" t="inlineStr">
        <is>
          <t>REQ-SEC-04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TC-SEC-008</t>
        </is>
      </c>
      <c r="B12" s="31" t="inlineStr">
        <is>
          <t>XSS Protection</t>
        </is>
      </c>
      <c r="C12" s="51" t="inlineStr">
        <is>
          <t>Pengujian proteksi terhadap serangan Cross-Site Scripting (XSS)</t>
        </is>
      </c>
      <c r="D12" s="51" t="inlineStr">
        <is>
          <t>Field teks nama perangkat, catatan alarm, dan nama user</t>
        </is>
      </c>
      <c r="E12" s="51" t="inlineStr">
        <is>
          <t>1. Masukkan payload '&lt;script&gt;alert(1)&lt;/script&gt;' pada nama perangkat
2. Tampilkan di dashboard</t>
        </is>
      </c>
      <c r="F12" s="51" t="inlineStr">
        <is>
          <t>Vue.js auto-escaping mensterilkan teks, skrip tidak pernah tereksekusi pada browser</t>
        </is>
      </c>
      <c r="G12" s="51" t="inlineStr"/>
      <c r="H12" s="56" t="inlineStr">
        <is>
          <t>NOT TESTED</t>
        </is>
      </c>
      <c r="I12" s="30" t="inlineStr">
        <is>
          <t>Critical</t>
        </is>
      </c>
      <c r="J12" s="52" t="inlineStr">
        <is>
          <t>REQ-SEC-05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TC-SEC-009</t>
        </is>
      </c>
      <c r="B13" s="26" t="inlineStr">
        <is>
          <t>Token Security</t>
        </is>
      </c>
      <c r="C13" s="6" t="inlineStr">
        <is>
          <t>Pengujian penolakan terhadap token JWT palsu atau hasil manipulasi</t>
        </is>
      </c>
      <c r="D13" s="6" t="inlineStr">
        <is>
          <t>Endpoint API terproteksi</t>
        </is>
      </c>
      <c r="E13" s="6" t="inlineStr">
        <is>
          <t>1. Ubah payload role pada token JWT tanpa menandatangani ulang dengan secret valid
2. Lakukan request API</t>
        </is>
      </c>
      <c r="F13" s="6" t="inlineStr">
        <is>
          <t>Backend menolak token dengan error cryptographic signature verification failed (HTTP 401)</t>
        </is>
      </c>
      <c r="G13" s="6" t="inlineStr"/>
      <c r="H13" s="55" t="inlineStr">
        <is>
          <t>NOT TESTED</t>
        </is>
      </c>
      <c r="I13" s="25" t="inlineStr">
        <is>
          <t>Critical</t>
        </is>
      </c>
      <c r="J13" s="48" t="inlineStr">
        <is>
          <t>REQ-SEC-06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TC-SEC-010</t>
        </is>
      </c>
      <c r="B14" s="31" t="inlineStr">
        <is>
          <t>Password Storage</t>
        </is>
      </c>
      <c r="C14" s="51" t="inlineStr">
        <is>
          <t>Verifikasi algoritma hashing kata sandi di database</t>
        </is>
      </c>
      <c r="D14" s="51" t="inlineStr">
        <is>
          <t>Tabel users pada MariaDB</t>
        </is>
      </c>
      <c r="E14" s="51" t="inlineStr">
        <is>
          <t>1. Periksa isi kolom password_hash pada tabel users</t>
        </is>
      </c>
      <c r="F14" s="51" t="inlineStr">
        <is>
          <t>Password tersimpan menggunakan algoritma bcrypt standar industri dengan salt unik, tidak pernah plain text</t>
        </is>
      </c>
      <c r="G14" s="51" t="inlineStr"/>
      <c r="H14" s="56" t="inlineStr">
        <is>
          <t>NOT TESTED</t>
        </is>
      </c>
      <c r="I14" s="30" t="inlineStr">
        <is>
          <t>Critical</t>
        </is>
      </c>
      <c r="J14" s="52" t="inlineStr">
        <is>
          <t>REQ-SEC-07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TC-SEC-011</t>
        </is>
      </c>
      <c r="B15" s="26" t="inlineStr">
        <is>
          <t>Network Security</t>
        </is>
      </c>
      <c r="C15" s="6" t="inlineStr">
        <is>
          <t>Penutupan port yang tidak diperlukan (Port Minimization)</t>
        </is>
      </c>
      <c r="D15" s="6" t="inlineStr">
        <is>
          <t>Host server stasiun</t>
        </is>
      </c>
      <c r="E15" s="6" t="inlineStr">
        <is>
          <t>1. Lakukan port scan nmap terhadap host server datalogger</t>
        </is>
      </c>
      <c r="F15" s="6" t="inlineStr">
        <is>
          <t>Hanya port resmi yang terbuka (8080 HTTP dan 3306 localhost/terisolasi), port lain tertutup</t>
        </is>
      </c>
      <c r="G15" s="6" t="inlineStr"/>
      <c r="H15" s="55" t="inlineStr">
        <is>
          <t>NOT TESTED</t>
        </is>
      </c>
      <c r="I15" s="25" t="inlineStr">
        <is>
          <t>High</t>
        </is>
      </c>
      <c r="J15" s="48" t="inlineStr">
        <is>
          <t>REQ-SEC-08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TC-SEC-012</t>
        </is>
      </c>
      <c r="B16" s="31" t="inlineStr">
        <is>
          <t>Least Privilege</t>
        </is>
      </c>
      <c r="C16" s="51" t="inlineStr">
        <is>
          <t>Hak akses user database MariaDB menerapkan least privilege</t>
        </is>
      </c>
      <c r="D16" s="51" t="inlineStr">
        <is>
          <t>Kredensial database di config.json</t>
        </is>
      </c>
      <c r="E16" s="51" t="inlineStr">
        <is>
          <t>1. Uji koneksi user datalogger ke database sistem 'mysql' atau 'sys'</t>
        </is>
      </c>
      <c r="F16" s="51" t="inlineStr">
        <is>
          <t>User aplikasi dibatasi hanya memiliki hak akses (GRANT) pada database 'datalogger'</t>
        </is>
      </c>
      <c r="G16" s="51" t="inlineStr"/>
      <c r="H16" s="56" t="inlineStr">
        <is>
          <t>NOT TESTED</t>
        </is>
      </c>
      <c r="I16" s="30" t="inlineStr">
        <is>
          <t>High</t>
        </is>
      </c>
      <c r="J16" s="52" t="inlineStr">
        <is>
          <t>REQ-SEC-09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</sheetData>
  <autoFilter ref="A4:N16"/>
  <mergeCells count="2">
    <mergeCell ref="A2:N2"/>
    <mergeCell ref="A1:N1"/>
  </mergeCells>
  <conditionalFormatting sqref="H5:H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6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6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6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2" customWidth="1" min="5" max="5"/>
    <col width="38" customWidth="1" min="6" max="6"/>
    <col width="26" customWidth="1" min="7" max="7"/>
    <col width="16" customWidth="1" min="8" max="8"/>
    <col width="14" customWidth="1" min="9" max="9"/>
    <col width="20" customWidth="1" min="10" max="10"/>
    <col width="14" customWidth="1" min="11" max="11"/>
    <col width="16" customWidth="1" min="12" max="12"/>
    <col width="14" customWidth="1" min="13" max="13"/>
    <col width="26" customWidth="1" min="14" max="14"/>
  </cols>
  <sheetData>
    <row r="1" ht="30" customHeight="1">
      <c r="A1" s="53" t="inlineStr">
        <is>
          <t>DATALOGGER ANALYSIS APPLICATION — QA TEST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Module: Customer Acceptance | Doc ID: DAA-QA-001 | Version: 1.0 | Status: Draft for QA Execution | Scope: Pengujian akhir serah terima sistem di lokasi customer (Site Acceptance Test / SAT).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Test Case ID</t>
        </is>
      </c>
      <c r="B4" s="23" t="inlineStr">
        <is>
          <t>Test Category</t>
        </is>
      </c>
      <c r="C4" s="23" t="inlineStr">
        <is>
          <t>Test Scenario</t>
        </is>
      </c>
      <c r="D4" s="23" t="inlineStr">
        <is>
          <t>Preconditions</t>
        </is>
      </c>
      <c r="E4" s="23" t="inlineStr">
        <is>
          <t>Test Steps</t>
        </is>
      </c>
      <c r="F4" s="23" t="inlineStr">
        <is>
          <t>Expected Result</t>
        </is>
      </c>
      <c r="G4" s="23" t="inlineStr">
        <is>
          <t>Actual Result</t>
        </is>
      </c>
      <c r="H4" s="23" t="inlineStr">
        <is>
          <t>Status</t>
        </is>
      </c>
      <c r="I4" s="23" t="inlineStr">
        <is>
          <t>Severity</t>
        </is>
      </c>
      <c r="J4" s="23" t="inlineStr">
        <is>
          <t>Evidence Reference</t>
        </is>
      </c>
      <c r="K4" s="23" t="inlineStr">
        <is>
          <t>Defect ID</t>
        </is>
      </c>
      <c r="L4" s="23" t="inlineStr">
        <is>
          <t>Tester</t>
        </is>
      </c>
      <c r="M4" s="23" t="inlineStr">
        <is>
          <t>Test Date</t>
        </is>
      </c>
      <c r="N4" s="23" t="inlineStr">
        <is>
          <t>Remarks</t>
        </is>
      </c>
    </row>
    <row r="5" ht="48" customHeight="1">
      <c r="A5" s="25" t="inlineStr">
        <is>
          <t>TC-ACC-001</t>
        </is>
      </c>
      <c r="B5" s="26" t="inlineStr">
        <is>
          <t>Commissioning</t>
        </is>
      </c>
      <c r="C5" s="6" t="inlineStr">
        <is>
          <t>Verifikasi login customer menggunakan akun resmi stasiun</t>
        </is>
      </c>
      <c r="D5" s="6" t="inlineStr">
        <is>
          <t>Akun operator dan admin customer telah dibuat</t>
        </is>
      </c>
      <c r="E5" s="6" t="inlineStr">
        <is>
          <t>1. Minta operator customer login menggunakan akun yang diserahterimakan
2. Pastikan masuk tanpa hambatan</t>
        </is>
      </c>
      <c r="F5" s="6" t="inlineStr">
        <is>
          <t>Customer berhasil login secara mandiri dan masuk ke dashboard SCADA</t>
        </is>
      </c>
      <c r="G5" s="6" t="inlineStr"/>
      <c r="H5" s="55" t="inlineStr">
        <is>
          <t>NOT TESTED</t>
        </is>
      </c>
      <c r="I5" s="25" t="inlineStr">
        <is>
          <t>Critical</t>
        </is>
      </c>
      <c r="J5" s="48" t="inlineStr">
        <is>
          <t>REQ-ACC-01</t>
        </is>
      </c>
      <c r="K5" s="26" t="inlineStr"/>
      <c r="L5" s="48" t="inlineStr">
        <is>
          <t>[Tester]</t>
        </is>
      </c>
      <c r="M5" s="48" t="inlineStr">
        <is>
          <t>[Date]</t>
        </is>
      </c>
      <c r="N5" s="6" t="inlineStr"/>
    </row>
    <row r="6" ht="48" customHeight="1">
      <c r="A6" s="30" t="inlineStr">
        <is>
          <t>TC-ACC-002</t>
        </is>
      </c>
      <c r="B6" s="31" t="inlineStr">
        <is>
          <t>Commissioning</t>
        </is>
      </c>
      <c r="C6" s="51" t="inlineStr">
        <is>
          <t>Kesesuaian tampilan dashboard SCADA dengan kebutuhan stasiun</t>
        </is>
      </c>
      <c r="D6" s="51" t="inlineStr">
        <is>
          <t>Dashboard terbuka di layar ruang kendali</t>
        </is>
      </c>
      <c r="E6" s="51" t="inlineStr">
        <is>
          <t>1. Tinjau bersama perwakilan customer: branding logo, nama stasiun, dan susunan kartu sensor</t>
        </is>
      </c>
      <c r="F6" s="51" t="inlineStr">
        <is>
          <t>Customer menyetujui tata letak dan penamaan parameter stasiun</t>
        </is>
      </c>
      <c r="G6" s="51" t="inlineStr"/>
      <c r="H6" s="56" t="inlineStr">
        <is>
          <t>NOT TESTED</t>
        </is>
      </c>
      <c r="I6" s="30" t="inlineStr">
        <is>
          <t>High</t>
        </is>
      </c>
      <c r="J6" s="52" t="inlineStr">
        <is>
          <t>REQ-ACC-02</t>
        </is>
      </c>
      <c r="K6" s="31" t="inlineStr"/>
      <c r="L6" s="52" t="inlineStr">
        <is>
          <t>[Tester]</t>
        </is>
      </c>
      <c r="M6" s="52" t="inlineStr">
        <is>
          <t>[Date]</t>
        </is>
      </c>
      <c r="N6" s="51" t="inlineStr"/>
    </row>
    <row r="7" ht="48" customHeight="1">
      <c r="A7" s="25" t="inlineStr">
        <is>
          <t>TC-ACC-003</t>
        </is>
      </c>
      <c r="B7" s="26" t="inlineStr">
        <is>
          <t>Commissioning</t>
        </is>
      </c>
      <c r="C7" s="6" t="inlineStr">
        <is>
          <t>Seluruh perangkat fisik terpasang terdaftar dan berstatus ONLINE</t>
        </is>
      </c>
      <c r="D7" s="6" t="inlineStr">
        <is>
          <t>Instrumen analyzer AQMS-01 dan AQMS-02 terpasang di rak stasiun</t>
        </is>
      </c>
      <c r="E7" s="6" t="inlineStr">
        <is>
          <t>1. Periksa menu Devices &amp; Sensors
2. Verifikasi 2 perangkat berstatus ONLINE (Hijau)</t>
        </is>
      </c>
      <c r="F7" s="6" t="inlineStr">
        <is>
          <t>Semua instrumen fisik terhubung dan berkomunikasi aktif</t>
        </is>
      </c>
      <c r="G7" s="6" t="inlineStr"/>
      <c r="H7" s="55" t="inlineStr">
        <is>
          <t>NOT TESTED</t>
        </is>
      </c>
      <c r="I7" s="25" t="inlineStr">
        <is>
          <t>Critical</t>
        </is>
      </c>
      <c r="J7" s="48" t="inlineStr">
        <is>
          <t>REQ-ACC-03</t>
        </is>
      </c>
      <c r="K7" s="26" t="inlineStr"/>
      <c r="L7" s="48" t="inlineStr">
        <is>
          <t>[Tester]</t>
        </is>
      </c>
      <c r="M7" s="48" t="inlineStr">
        <is>
          <t>[Date]</t>
        </is>
      </c>
      <c r="N7" s="6" t="inlineStr"/>
    </row>
    <row r="8" ht="48" customHeight="1">
      <c r="A8" s="30" t="inlineStr">
        <is>
          <t>TC-ACC-004</t>
        </is>
      </c>
      <c r="B8" s="31" t="inlineStr">
        <is>
          <t>Commissioning</t>
        </is>
      </c>
      <c r="C8" s="51" t="inlineStr">
        <is>
          <t>Uji kesesuaian nilai pembacaan sensor dengan instrumen referensi</t>
        </is>
      </c>
      <c r="D8" s="51" t="inlineStr">
        <is>
          <t>Tersedia gas kalibrasi / alat ukur pembanding terkalibrasi</t>
        </is>
      </c>
      <c r="E8" s="51" t="inlineStr">
        <is>
          <t>1. Uji pembacaan sensor partikulat dan gas
2. Bandingkan dengan alat ukur referensi customer</t>
        </is>
      </c>
      <c r="F8" s="51" t="inlineStr">
        <is>
          <t>Deviasi pembacaan berada di dalam batas toleransi akurasi yang disepakati</t>
        </is>
      </c>
      <c r="G8" s="51" t="inlineStr"/>
      <c r="H8" s="56" t="inlineStr">
        <is>
          <t>NOT TESTED</t>
        </is>
      </c>
      <c r="I8" s="30" t="inlineStr">
        <is>
          <t>Critical</t>
        </is>
      </c>
      <c r="J8" s="52" t="inlineStr">
        <is>
          <t>REQ-ACC-04</t>
        </is>
      </c>
      <c r="K8" s="31" t="inlineStr"/>
      <c r="L8" s="52" t="inlineStr">
        <is>
          <t>[Tester]</t>
        </is>
      </c>
      <c r="M8" s="52" t="inlineStr">
        <is>
          <t>[Date]</t>
        </is>
      </c>
      <c r="N8" s="51" t="inlineStr"/>
    </row>
    <row r="9" ht="48" customHeight="1">
      <c r="A9" s="25" t="inlineStr">
        <is>
          <t>TC-ACC-005</t>
        </is>
      </c>
      <c r="B9" s="26" t="inlineStr">
        <is>
          <t>Commissioning</t>
        </is>
      </c>
      <c r="C9" s="6" t="inlineStr">
        <is>
          <t>Verifikasi visualisasi perhitungan ISPU 24 jam Permen LHK No. 14/2020</t>
        </is>
      </c>
      <c r="D9" s="6" t="inlineStr">
        <is>
          <t>Data pemantauan telah berjalan</t>
        </is>
      </c>
      <c r="E9" s="6" t="inlineStr">
        <is>
          <t>1. Buka modul ISPU Analysis bersama auditor lingkungan customer
2. Verifikasi 5 zona warna dan parameter kritis dominan</t>
        </is>
      </c>
      <c r="F9" s="6" t="inlineStr">
        <is>
          <t>Kalkulasi ISPU disetujui sesuai regulasi nasional lingkungan hidup</t>
        </is>
      </c>
      <c r="G9" s="6" t="inlineStr"/>
      <c r="H9" s="55" t="inlineStr">
        <is>
          <t>NOT TESTED</t>
        </is>
      </c>
      <c r="I9" s="25" t="inlineStr">
        <is>
          <t>Critical</t>
        </is>
      </c>
      <c r="J9" s="48" t="inlineStr">
        <is>
          <t>REQ-ACC-05</t>
        </is>
      </c>
      <c r="K9" s="26" t="inlineStr"/>
      <c r="L9" s="48" t="inlineStr">
        <is>
          <t>[Tester]</t>
        </is>
      </c>
      <c r="M9" s="48" t="inlineStr">
        <is>
          <t>[Date]</t>
        </is>
      </c>
      <c r="N9" s="6" t="inlineStr"/>
    </row>
    <row r="10" ht="48" customHeight="1">
      <c r="A10" s="30" t="inlineStr">
        <is>
          <t>TC-ACC-006</t>
        </is>
      </c>
      <c r="B10" s="31" t="inlineStr">
        <is>
          <t>Commissioning</t>
        </is>
      </c>
      <c r="C10" s="51" t="inlineStr">
        <is>
          <t>Uji simulasi alarm darurat dan penerimaan notifikasi</t>
        </is>
      </c>
      <c r="D10" s="51" t="inlineStr">
        <is>
          <t>Skenario simulasi pengujian alarm yang aman</t>
        </is>
      </c>
      <c r="E10" s="51" t="inlineStr">
        <is>
          <t>1. Simulasikan nilai melampaui batas ambang
2. Amati peringatan visual lonceng merah di layar
3. Lakukan Acknowledge</t>
        </is>
      </c>
      <c r="F10" s="51" t="inlineStr">
        <is>
          <t>Alarm terpicu dengan benar, operator dapat melakukan pengakuan dan pencatatan insiden</t>
        </is>
      </c>
      <c r="G10" s="51" t="inlineStr"/>
      <c r="H10" s="56" t="inlineStr">
        <is>
          <t>NOT TESTED</t>
        </is>
      </c>
      <c r="I10" s="30" t="inlineStr">
        <is>
          <t>High</t>
        </is>
      </c>
      <c r="J10" s="52" t="inlineStr">
        <is>
          <t>REQ-ACC-06</t>
        </is>
      </c>
      <c r="K10" s="31" t="inlineStr"/>
      <c r="L10" s="52" t="inlineStr">
        <is>
          <t>[Tester]</t>
        </is>
      </c>
      <c r="M10" s="52" t="inlineStr">
        <is>
          <t>[Date]</t>
        </is>
      </c>
      <c r="N10" s="51" t="inlineStr"/>
    </row>
    <row r="11" ht="48" customHeight="1">
      <c r="A11" s="25" t="inlineStr">
        <is>
          <t>TC-ACC-007</t>
        </is>
      </c>
      <c r="B11" s="26" t="inlineStr">
        <is>
          <t>Commissioning</t>
        </is>
      </c>
      <c r="C11" s="6" t="inlineStr">
        <is>
          <t>Uji pengunduhan laporan operasional format PDF dan CSV</t>
        </is>
      </c>
      <c r="D11" s="6" t="inlineStr">
        <is>
          <t>Laporan data stasiun tersedia</t>
        </is>
      </c>
      <c r="E11" s="6" t="inlineStr">
        <is>
          <t>1. Operator customer mengunduh laporan PDF dan CSV
2. Buka berkas dan verifikasi data</t>
        </is>
      </c>
      <c r="F11" s="6" t="inlineStr">
        <is>
          <t>Berkas terunduh sempurna dan siap diserahkan ke pimpinan instansi</t>
        </is>
      </c>
      <c r="G11" s="6" t="inlineStr"/>
      <c r="H11" s="55" t="inlineStr">
        <is>
          <t>NOT TESTED</t>
        </is>
      </c>
      <c r="I11" s="25" t="inlineStr">
        <is>
          <t>High</t>
        </is>
      </c>
      <c r="J11" s="48" t="inlineStr">
        <is>
          <t>REQ-ACC-07</t>
        </is>
      </c>
      <c r="K11" s="26" t="inlineStr"/>
      <c r="L11" s="48" t="inlineStr">
        <is>
          <t>[Tester]</t>
        </is>
      </c>
      <c r="M11" s="48" t="inlineStr">
        <is>
          <t>[Date]</t>
        </is>
      </c>
      <c r="N11" s="6" t="inlineStr"/>
    </row>
    <row r="12" ht="48" customHeight="1">
      <c r="A12" s="30" t="inlineStr">
        <is>
          <t>TC-ACC-008</t>
        </is>
      </c>
      <c r="B12" s="31" t="inlineStr">
        <is>
          <t>Commissioning</t>
        </is>
      </c>
      <c r="C12" s="51" t="inlineStr">
        <is>
          <t>Verifikasi isolasi hak akses customer (bebas akses developer)</t>
        </is>
      </c>
      <c r="D12" s="51" t="inlineStr">
        <is>
          <t>Login dengan akun customer</t>
        </is>
      </c>
      <c r="E12" s="51" t="inlineStr">
        <is>
          <t>1. Pastikan menu internal developer (Development Phases, Tasks, Release) tidak tampak pada antarmuka</t>
        </is>
      </c>
      <c r="F12" s="51" t="inlineStr">
        <is>
          <t>Antarmuka customer bersih dan fokus hanya pada modul operasional</t>
        </is>
      </c>
      <c r="G12" s="51" t="inlineStr"/>
      <c r="H12" s="56" t="inlineStr">
        <is>
          <t>NOT TESTED</t>
        </is>
      </c>
      <c r="I12" s="30" t="inlineStr">
        <is>
          <t>High</t>
        </is>
      </c>
      <c r="J12" s="52" t="inlineStr">
        <is>
          <t>REQ-ACC-08</t>
        </is>
      </c>
      <c r="K12" s="31" t="inlineStr"/>
      <c r="L12" s="52" t="inlineStr">
        <is>
          <t>[Tester]</t>
        </is>
      </c>
      <c r="M12" s="52" t="inlineStr">
        <is>
          <t>[Date]</t>
        </is>
      </c>
      <c r="N12" s="51" t="inlineStr"/>
    </row>
    <row r="13" ht="48" customHeight="1">
      <c r="A13" s="25" t="inlineStr">
        <is>
          <t>TC-ACC-009</t>
        </is>
      </c>
      <c r="B13" s="26" t="inlineStr">
        <is>
          <t>Commissioning</t>
        </is>
      </c>
      <c r="C13" s="6" t="inlineStr">
        <is>
          <t>Serah terima prosedur pencadangan (Backup &amp; Disaster Recovery)</t>
        </is>
      </c>
      <c r="D13" s="6" t="inlineStr">
        <is>
          <t>Prosedur backup telah diuji</t>
        </is>
      </c>
      <c r="E13" s="6" t="inlineStr">
        <is>
          <t>1. Demonstrasikan pembuatan file backup kepada tim IT customer
2. Jelaskan cara restorasi darurat</t>
        </is>
      </c>
      <c r="F13" s="6" t="inlineStr">
        <is>
          <t>Tim customer memahami dan menerima prosedur pencadangan data</t>
        </is>
      </c>
      <c r="G13" s="6" t="inlineStr"/>
      <c r="H13" s="55" t="inlineStr">
        <is>
          <t>NOT TESTED</t>
        </is>
      </c>
      <c r="I13" s="25" t="inlineStr">
        <is>
          <t>High</t>
        </is>
      </c>
      <c r="J13" s="48" t="inlineStr">
        <is>
          <t>REQ-ACC-09</t>
        </is>
      </c>
      <c r="K13" s="26" t="inlineStr"/>
      <c r="L13" s="48" t="inlineStr">
        <is>
          <t>[Tester]</t>
        </is>
      </c>
      <c r="M13" s="48" t="inlineStr">
        <is>
          <t>[Date]</t>
        </is>
      </c>
      <c r="N13" s="6" t="inlineStr"/>
    </row>
    <row r="14" ht="48" customHeight="1">
      <c r="A14" s="30" t="inlineStr">
        <is>
          <t>TC-ACC-010</t>
        </is>
      </c>
      <c r="B14" s="31" t="inlineStr">
        <is>
          <t>Commissioning</t>
        </is>
      </c>
      <c r="C14" s="51" t="inlineStr">
        <is>
          <t>Penyerahan Customer User Manual Book resmi (DAA-CUM-001)</t>
        </is>
      </c>
      <c r="D14" s="51" t="inlineStr">
        <is>
          <t>Dokumen manual versi 1.0 telah dicetak / diserahkan dalam bentuk DOCX &amp; PDF</t>
        </is>
      </c>
      <c r="E14" s="51" t="inlineStr">
        <is>
          <t>1. Serahkan buku panduan kepada perwakilan customer
2. Periksa kelengkapan 14 bab panduan</t>
        </is>
      </c>
      <c r="F14" s="51" t="inlineStr">
        <is>
          <t>Buku manual diterima lengkap dan menjadi lampiran Berita Acara Serah Terima</t>
        </is>
      </c>
      <c r="G14" s="51" t="inlineStr"/>
      <c r="H14" s="56" t="inlineStr">
        <is>
          <t>NOT TESTED</t>
        </is>
      </c>
      <c r="I14" s="30" t="inlineStr">
        <is>
          <t>Critical</t>
        </is>
      </c>
      <c r="J14" s="52" t="inlineStr">
        <is>
          <t>REQ-ACC-10</t>
        </is>
      </c>
      <c r="K14" s="31" t="inlineStr"/>
      <c r="L14" s="52" t="inlineStr">
        <is>
          <t>[Tester]</t>
        </is>
      </c>
      <c r="M14" s="52" t="inlineStr">
        <is>
          <t>[Date]</t>
        </is>
      </c>
      <c r="N14" s="51" t="inlineStr"/>
    </row>
    <row r="15" ht="48" customHeight="1">
      <c r="A15" s="25" t="inlineStr">
        <is>
          <t>TC-ACC-011</t>
        </is>
      </c>
      <c r="B15" s="26" t="inlineStr">
        <is>
          <t>Commissioning</t>
        </is>
      </c>
      <c r="C15" s="6" t="inlineStr">
        <is>
          <t>Pelaksanaan pelatihan operasional (Operator User Training)</t>
        </is>
      </c>
      <c r="D15" s="6" t="inlineStr">
        <is>
          <t>Sesi pelatihan tatap muka / daring bersama staf customer</t>
        </is>
      </c>
      <c r="E15" s="6" t="inlineStr">
        <is>
          <t>1. Lakukan training penggunaan SCADA Console, ISPU, alarm, dan ekspor laporan
2. Isi daftar hadir pelatihan</t>
        </is>
      </c>
      <c r="F15" s="6" t="inlineStr">
        <is>
          <t>Staf operator customer mampu mengoperasikan aplikasi secara mandiri</t>
        </is>
      </c>
      <c r="G15" s="6" t="inlineStr"/>
      <c r="H15" s="55" t="inlineStr">
        <is>
          <t>NOT TESTED</t>
        </is>
      </c>
      <c r="I15" s="25" t="inlineStr">
        <is>
          <t>High</t>
        </is>
      </c>
      <c r="J15" s="48" t="inlineStr">
        <is>
          <t>REQ-ACC-11</t>
        </is>
      </c>
      <c r="K15" s="26" t="inlineStr"/>
      <c r="L15" s="48" t="inlineStr">
        <is>
          <t>[Tester]</t>
        </is>
      </c>
      <c r="M15" s="48" t="inlineStr">
        <is>
          <t>[Date]</t>
        </is>
      </c>
      <c r="N15" s="6" t="inlineStr"/>
    </row>
    <row r="16" ht="48" customHeight="1">
      <c r="A16" s="30" t="inlineStr">
        <is>
          <t>TC-ACC-012</t>
        </is>
      </c>
      <c r="B16" s="31" t="inlineStr">
        <is>
          <t>Commissioning</t>
        </is>
      </c>
      <c r="C16" s="51" t="inlineStr">
        <is>
          <t>Penandatanganan Berita Acara Uji Terima (SAT Sign-off Form)</t>
        </is>
      </c>
      <c r="D16" s="51" t="inlineStr">
        <is>
          <t>Seluruh pengujian acceptance test selesai</t>
        </is>
      </c>
      <c r="E16" s="51" t="inlineStr">
        <is>
          <t>1. Periksa checklist bersama perwakilan customer
2. Bubuhkan tanda tangan persetujuan serah terima</t>
        </is>
      </c>
      <c r="F16" s="51" t="inlineStr">
        <is>
          <t>Berita Acara Serah Terima Operasional (BAST) ditandatangani kedua belah pihak</t>
        </is>
      </c>
      <c r="G16" s="51" t="inlineStr"/>
      <c r="H16" s="56" t="inlineStr">
        <is>
          <t>NOT TESTED</t>
        </is>
      </c>
      <c r="I16" s="30" t="inlineStr">
        <is>
          <t>Critical</t>
        </is>
      </c>
      <c r="J16" s="52" t="inlineStr">
        <is>
          <t>REQ-ACC-12</t>
        </is>
      </c>
      <c r="K16" s="31" t="inlineStr"/>
      <c r="L16" s="52" t="inlineStr">
        <is>
          <t>[Tester]</t>
        </is>
      </c>
      <c r="M16" s="52" t="inlineStr">
        <is>
          <t>[Date]</t>
        </is>
      </c>
      <c r="N16" s="51" t="inlineStr"/>
    </row>
  </sheetData>
  <autoFilter ref="A4:N16"/>
  <mergeCells count="2">
    <mergeCell ref="A2:N2"/>
    <mergeCell ref="A1:N1"/>
  </mergeCells>
  <conditionalFormatting sqref="H5:H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APPLICABLE"</formula>
    </cfRule>
    <cfRule type="cellIs" priority="5" operator="equal" dxfId="4">
      <formula>"NOT TESTED"</formula>
    </cfRule>
  </conditionalFormatting>
  <conditionalFormatting sqref="I5:I16">
    <cfRule type="cellIs" priority="6" operator="equal" dxfId="5">
      <formula>"Critical"</formula>
    </cfRule>
    <cfRule type="cellIs" priority="7" operator="equal" dxfId="6">
      <formula>"High"</formula>
    </cfRule>
  </conditionalFormatting>
  <dataValidations count="2">
    <dataValidation sqref="H5:H16" showDropDown="0" showInputMessage="0" showErrorMessage="0" allowBlank="0" errorTitle="Invalid QA Status" error="Pilih salah satu status: NOT TESTED, PASS, FAIL, BLOCKED, atau NOT APPLICABLE" type="list">
      <formula1>"NOT TESTED,PASS,FAIL,BLOCKED,NOT APPLICABLE"</formula1>
    </dataValidation>
    <dataValidation sqref="I5:I16" showDropDown="0" showInputMessage="0" showErrorMessage="0" allowBlank="0" errorTitle="Invalid Severity" error="Pilih salah satu severity: Critical, High, Medium, atau Low" type="list">
      <formula1>"Critical,High,Medium,Low"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20" customWidth="1" min="4" max="4"/>
    <col width="14" customWidth="1" min="5" max="5"/>
    <col width="16" customWidth="1" min="6" max="6"/>
    <col width="36" customWidth="1" min="7" max="7"/>
    <col width="30" customWidth="1" min="8" max="8"/>
    <col width="30" customWidth="1" min="9" max="9"/>
    <col width="22" customWidth="1" min="10" max="10"/>
    <col width="16" customWidth="1" min="11" max="11"/>
    <col width="16" customWidth="1" min="12" max="12"/>
    <col width="30" customWidth="1" min="13" max="13"/>
    <col width="20" customWidth="1" min="14" max="14"/>
  </cols>
  <sheetData>
    <row r="1" ht="30" customHeight="1">
      <c r="A1" s="53" t="inlineStr">
        <is>
          <t>DATALOGGER ANALYSIS APPLICATION — DEFECT MANAGEMENT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54" t="inlineStr">
        <is>
          <t>Document ID: DAA-QA-001-DEF | Lifecycle: NEW -&gt; ASSIGNED -&gt; FIXED -&gt; RETEST -&gt; CLOSED | Target: Zero Critical/High for Release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/>
    <row r="4" ht="28" customHeight="1">
      <c r="A4" s="23" t="inlineStr">
        <is>
          <t>Defect ID</t>
        </is>
      </c>
      <c r="B4" s="23" t="inlineStr">
        <is>
          <t>Related TC ID</t>
        </is>
      </c>
      <c r="C4" s="23" t="inlineStr">
        <is>
          <t>Defect Summary</t>
        </is>
      </c>
      <c r="D4" s="23" t="inlineStr">
        <is>
          <t>Component / Module</t>
        </is>
      </c>
      <c r="E4" s="23" t="inlineStr">
        <is>
          <t>Severity</t>
        </is>
      </c>
      <c r="F4" s="23" t="inlineStr">
        <is>
          <t>Priority</t>
        </is>
      </c>
      <c r="G4" s="23" t="inlineStr">
        <is>
          <t>Steps to Reproduce</t>
        </is>
      </c>
      <c r="H4" s="23" t="inlineStr">
        <is>
          <t>Expected Result</t>
        </is>
      </c>
      <c r="I4" s="23" t="inlineStr">
        <is>
          <t>Actual Result</t>
        </is>
      </c>
      <c r="J4" s="23" t="inlineStr">
        <is>
          <t>Evidence / Attachment</t>
        </is>
      </c>
      <c r="K4" s="23" t="inlineStr">
        <is>
          <t>Assignee</t>
        </is>
      </c>
      <c r="L4" s="23" t="inlineStr">
        <is>
          <t>Defect Status</t>
        </is>
      </c>
      <c r="M4" s="23" t="inlineStr">
        <is>
          <t>Resolution / Root Cause</t>
        </is>
      </c>
      <c r="N4" s="23" t="inlineStr">
        <is>
          <t>Retest &amp; Sign-off</t>
        </is>
      </c>
    </row>
    <row r="5" ht="36" customHeight="1">
      <c r="A5" s="25" t="inlineStr">
        <is>
          <t>DEF-001</t>
        </is>
      </c>
      <c r="B5" s="26" t="inlineStr"/>
      <c r="C5" s="6" t="inlineStr"/>
      <c r="D5" s="26" t="inlineStr"/>
      <c r="E5" s="26" t="inlineStr">
        <is>
          <t>Medium</t>
        </is>
      </c>
      <c r="F5" s="26" t="inlineStr">
        <is>
          <t>P3 - Major</t>
        </is>
      </c>
      <c r="G5" s="6" t="inlineStr"/>
      <c r="H5" s="6" t="inlineStr"/>
      <c r="I5" s="6" t="inlineStr"/>
      <c r="J5" s="26" t="inlineStr"/>
      <c r="K5" s="26" t="inlineStr"/>
      <c r="L5" s="25" t="inlineStr">
        <is>
          <t>OPEN</t>
        </is>
      </c>
      <c r="M5" s="6" t="inlineStr"/>
      <c r="N5" s="26" t="inlineStr"/>
    </row>
    <row r="6" ht="36" customHeight="1">
      <c r="A6" s="30" t="inlineStr">
        <is>
          <t>DEF-002</t>
        </is>
      </c>
      <c r="B6" s="31" t="inlineStr"/>
      <c r="C6" s="51" t="inlineStr"/>
      <c r="D6" s="31" t="inlineStr"/>
      <c r="E6" s="31" t="inlineStr">
        <is>
          <t>Medium</t>
        </is>
      </c>
      <c r="F6" s="31" t="inlineStr">
        <is>
          <t>P3 - Major</t>
        </is>
      </c>
      <c r="G6" s="51" t="inlineStr"/>
      <c r="H6" s="51" t="inlineStr"/>
      <c r="I6" s="51" t="inlineStr"/>
      <c r="J6" s="31" t="inlineStr"/>
      <c r="K6" s="31" t="inlineStr"/>
      <c r="L6" s="30" t="inlineStr">
        <is>
          <t>OPEN</t>
        </is>
      </c>
      <c r="M6" s="51" t="inlineStr"/>
      <c r="N6" s="31" t="inlineStr"/>
    </row>
    <row r="7" ht="36" customHeight="1">
      <c r="A7" s="25" t="inlineStr">
        <is>
          <t>DEF-003</t>
        </is>
      </c>
      <c r="B7" s="26" t="inlineStr"/>
      <c r="C7" s="6" t="inlineStr"/>
      <c r="D7" s="26" t="inlineStr"/>
      <c r="E7" s="26" t="inlineStr">
        <is>
          <t>Medium</t>
        </is>
      </c>
      <c r="F7" s="26" t="inlineStr">
        <is>
          <t>P3 - Major</t>
        </is>
      </c>
      <c r="G7" s="6" t="inlineStr"/>
      <c r="H7" s="6" t="inlineStr"/>
      <c r="I7" s="6" t="inlineStr"/>
      <c r="J7" s="26" t="inlineStr"/>
      <c r="K7" s="26" t="inlineStr"/>
      <c r="L7" s="25" t="inlineStr">
        <is>
          <t>OPEN</t>
        </is>
      </c>
      <c r="M7" s="6" t="inlineStr"/>
      <c r="N7" s="26" t="inlineStr"/>
    </row>
    <row r="8" ht="36" customHeight="1">
      <c r="A8" s="30" t="inlineStr">
        <is>
          <t>DEF-004</t>
        </is>
      </c>
      <c r="B8" s="31" t="inlineStr"/>
      <c r="C8" s="51" t="inlineStr"/>
      <c r="D8" s="31" t="inlineStr"/>
      <c r="E8" s="31" t="inlineStr">
        <is>
          <t>Medium</t>
        </is>
      </c>
      <c r="F8" s="31" t="inlineStr">
        <is>
          <t>P3 - Major</t>
        </is>
      </c>
      <c r="G8" s="51" t="inlineStr"/>
      <c r="H8" s="51" t="inlineStr"/>
      <c r="I8" s="51" t="inlineStr"/>
      <c r="J8" s="31" t="inlineStr"/>
      <c r="K8" s="31" t="inlineStr"/>
      <c r="L8" s="30" t="inlineStr">
        <is>
          <t>OPEN</t>
        </is>
      </c>
      <c r="M8" s="51" t="inlineStr"/>
      <c r="N8" s="31" t="inlineStr"/>
    </row>
    <row r="9" ht="36" customHeight="1">
      <c r="A9" s="25" t="inlineStr">
        <is>
          <t>DEF-005</t>
        </is>
      </c>
      <c r="B9" s="26" t="inlineStr"/>
      <c r="C9" s="6" t="inlineStr"/>
      <c r="D9" s="26" t="inlineStr"/>
      <c r="E9" s="26" t="inlineStr">
        <is>
          <t>Medium</t>
        </is>
      </c>
      <c r="F9" s="26" t="inlineStr">
        <is>
          <t>P3 - Major</t>
        </is>
      </c>
      <c r="G9" s="6" t="inlineStr"/>
      <c r="H9" s="6" t="inlineStr"/>
      <c r="I9" s="6" t="inlineStr"/>
      <c r="J9" s="26" t="inlineStr"/>
      <c r="K9" s="26" t="inlineStr"/>
      <c r="L9" s="25" t="inlineStr">
        <is>
          <t>OPEN</t>
        </is>
      </c>
      <c r="M9" s="6" t="inlineStr"/>
      <c r="N9" s="26" t="inlineStr"/>
    </row>
    <row r="10" ht="36" customHeight="1">
      <c r="A10" s="30" t="inlineStr">
        <is>
          <t>DEF-006</t>
        </is>
      </c>
      <c r="B10" s="31" t="inlineStr"/>
      <c r="C10" s="51" t="inlineStr"/>
      <c r="D10" s="31" t="inlineStr"/>
      <c r="E10" s="31" t="inlineStr">
        <is>
          <t>Medium</t>
        </is>
      </c>
      <c r="F10" s="31" t="inlineStr">
        <is>
          <t>P3 - Major</t>
        </is>
      </c>
      <c r="G10" s="51" t="inlineStr"/>
      <c r="H10" s="51" t="inlineStr"/>
      <c r="I10" s="51" t="inlineStr"/>
      <c r="J10" s="31" t="inlineStr"/>
      <c r="K10" s="31" t="inlineStr"/>
      <c r="L10" s="30" t="inlineStr">
        <is>
          <t>OPEN</t>
        </is>
      </c>
      <c r="M10" s="51" t="inlineStr"/>
      <c r="N10" s="31" t="inlineStr"/>
    </row>
    <row r="11" ht="36" customHeight="1">
      <c r="A11" s="25" t="inlineStr">
        <is>
          <t>DEF-007</t>
        </is>
      </c>
      <c r="B11" s="26" t="inlineStr"/>
      <c r="C11" s="6" t="inlineStr"/>
      <c r="D11" s="26" t="inlineStr"/>
      <c r="E11" s="26" t="inlineStr">
        <is>
          <t>Medium</t>
        </is>
      </c>
      <c r="F11" s="26" t="inlineStr">
        <is>
          <t>P3 - Major</t>
        </is>
      </c>
      <c r="G11" s="6" t="inlineStr"/>
      <c r="H11" s="6" t="inlineStr"/>
      <c r="I11" s="6" t="inlineStr"/>
      <c r="J11" s="26" t="inlineStr"/>
      <c r="K11" s="26" t="inlineStr"/>
      <c r="L11" s="25" t="inlineStr">
        <is>
          <t>OPEN</t>
        </is>
      </c>
      <c r="M11" s="6" t="inlineStr"/>
      <c r="N11" s="26" t="inlineStr"/>
    </row>
    <row r="12" ht="36" customHeight="1">
      <c r="A12" s="30" t="inlineStr">
        <is>
          <t>DEF-008</t>
        </is>
      </c>
      <c r="B12" s="31" t="inlineStr"/>
      <c r="C12" s="51" t="inlineStr"/>
      <c r="D12" s="31" t="inlineStr"/>
      <c r="E12" s="31" t="inlineStr">
        <is>
          <t>Medium</t>
        </is>
      </c>
      <c r="F12" s="31" t="inlineStr">
        <is>
          <t>P3 - Major</t>
        </is>
      </c>
      <c r="G12" s="51" t="inlineStr"/>
      <c r="H12" s="51" t="inlineStr"/>
      <c r="I12" s="51" t="inlineStr"/>
      <c r="J12" s="31" t="inlineStr"/>
      <c r="K12" s="31" t="inlineStr"/>
      <c r="L12" s="30" t="inlineStr">
        <is>
          <t>OPEN</t>
        </is>
      </c>
      <c r="M12" s="51" t="inlineStr"/>
      <c r="N12" s="31" t="inlineStr"/>
    </row>
    <row r="13" ht="36" customHeight="1">
      <c r="A13" s="25" t="inlineStr">
        <is>
          <t>DEF-009</t>
        </is>
      </c>
      <c r="B13" s="26" t="inlineStr"/>
      <c r="C13" s="6" t="inlineStr"/>
      <c r="D13" s="26" t="inlineStr"/>
      <c r="E13" s="26" t="inlineStr">
        <is>
          <t>Medium</t>
        </is>
      </c>
      <c r="F13" s="26" t="inlineStr">
        <is>
          <t>P3 - Major</t>
        </is>
      </c>
      <c r="G13" s="6" t="inlineStr"/>
      <c r="H13" s="6" t="inlineStr"/>
      <c r="I13" s="6" t="inlineStr"/>
      <c r="J13" s="26" t="inlineStr"/>
      <c r="K13" s="26" t="inlineStr"/>
      <c r="L13" s="25" t="inlineStr">
        <is>
          <t>OPEN</t>
        </is>
      </c>
      <c r="M13" s="6" t="inlineStr"/>
      <c r="N13" s="26" t="inlineStr"/>
    </row>
    <row r="14" ht="36" customHeight="1">
      <c r="A14" s="30" t="inlineStr">
        <is>
          <t>DEF-010</t>
        </is>
      </c>
      <c r="B14" s="31" t="inlineStr"/>
      <c r="C14" s="51" t="inlineStr"/>
      <c r="D14" s="31" t="inlineStr"/>
      <c r="E14" s="31" t="inlineStr">
        <is>
          <t>Medium</t>
        </is>
      </c>
      <c r="F14" s="31" t="inlineStr">
        <is>
          <t>P3 - Major</t>
        </is>
      </c>
      <c r="G14" s="51" t="inlineStr"/>
      <c r="H14" s="51" t="inlineStr"/>
      <c r="I14" s="51" t="inlineStr"/>
      <c r="J14" s="31" t="inlineStr"/>
      <c r="K14" s="31" t="inlineStr"/>
      <c r="L14" s="30" t="inlineStr">
        <is>
          <t>OPEN</t>
        </is>
      </c>
      <c r="M14" s="51" t="inlineStr"/>
      <c r="N14" s="31" t="inlineStr"/>
    </row>
    <row r="15" ht="36" customHeight="1">
      <c r="A15" s="25" t="inlineStr">
        <is>
          <t>DEF-011</t>
        </is>
      </c>
      <c r="B15" s="26" t="inlineStr"/>
      <c r="C15" s="6" t="inlineStr"/>
      <c r="D15" s="26" t="inlineStr"/>
      <c r="E15" s="26" t="inlineStr">
        <is>
          <t>Medium</t>
        </is>
      </c>
      <c r="F15" s="26" t="inlineStr">
        <is>
          <t>P3 - Major</t>
        </is>
      </c>
      <c r="G15" s="6" t="inlineStr"/>
      <c r="H15" s="6" t="inlineStr"/>
      <c r="I15" s="6" t="inlineStr"/>
      <c r="J15" s="26" t="inlineStr"/>
      <c r="K15" s="26" t="inlineStr"/>
      <c r="L15" s="25" t="inlineStr">
        <is>
          <t>OPEN</t>
        </is>
      </c>
      <c r="M15" s="6" t="inlineStr"/>
      <c r="N15" s="26" t="inlineStr"/>
    </row>
    <row r="16" ht="36" customHeight="1">
      <c r="A16" s="30" t="inlineStr">
        <is>
          <t>DEF-012</t>
        </is>
      </c>
      <c r="B16" s="31" t="inlineStr"/>
      <c r="C16" s="51" t="inlineStr"/>
      <c r="D16" s="31" t="inlineStr"/>
      <c r="E16" s="31" t="inlineStr">
        <is>
          <t>Medium</t>
        </is>
      </c>
      <c r="F16" s="31" t="inlineStr">
        <is>
          <t>P3 - Major</t>
        </is>
      </c>
      <c r="G16" s="51" t="inlineStr"/>
      <c r="H16" s="51" t="inlineStr"/>
      <c r="I16" s="51" t="inlineStr"/>
      <c r="J16" s="31" t="inlineStr"/>
      <c r="K16" s="31" t="inlineStr"/>
      <c r="L16" s="30" t="inlineStr">
        <is>
          <t>OPEN</t>
        </is>
      </c>
      <c r="M16" s="51" t="inlineStr"/>
      <c r="N16" s="31" t="inlineStr"/>
    </row>
    <row r="17" ht="36" customHeight="1">
      <c r="A17" s="25" t="inlineStr">
        <is>
          <t>DEF-013</t>
        </is>
      </c>
      <c r="B17" s="26" t="inlineStr"/>
      <c r="C17" s="6" t="inlineStr"/>
      <c r="D17" s="26" t="inlineStr"/>
      <c r="E17" s="26" t="inlineStr">
        <is>
          <t>Medium</t>
        </is>
      </c>
      <c r="F17" s="26" t="inlineStr">
        <is>
          <t>P3 - Major</t>
        </is>
      </c>
      <c r="G17" s="6" t="inlineStr"/>
      <c r="H17" s="6" t="inlineStr"/>
      <c r="I17" s="6" t="inlineStr"/>
      <c r="J17" s="26" t="inlineStr"/>
      <c r="K17" s="26" t="inlineStr"/>
      <c r="L17" s="25" t="inlineStr">
        <is>
          <t>OPEN</t>
        </is>
      </c>
      <c r="M17" s="6" t="inlineStr"/>
      <c r="N17" s="26" t="inlineStr"/>
    </row>
    <row r="18" ht="36" customHeight="1">
      <c r="A18" s="30" t="inlineStr">
        <is>
          <t>DEF-014</t>
        </is>
      </c>
      <c r="B18" s="31" t="inlineStr"/>
      <c r="C18" s="51" t="inlineStr"/>
      <c r="D18" s="31" t="inlineStr"/>
      <c r="E18" s="31" t="inlineStr">
        <is>
          <t>Medium</t>
        </is>
      </c>
      <c r="F18" s="31" t="inlineStr">
        <is>
          <t>P3 - Major</t>
        </is>
      </c>
      <c r="G18" s="51" t="inlineStr"/>
      <c r="H18" s="51" t="inlineStr"/>
      <c r="I18" s="51" t="inlineStr"/>
      <c r="J18" s="31" t="inlineStr"/>
      <c r="K18" s="31" t="inlineStr"/>
      <c r="L18" s="30" t="inlineStr">
        <is>
          <t>OPEN</t>
        </is>
      </c>
      <c r="M18" s="51" t="inlineStr"/>
      <c r="N18" s="31" t="inlineStr"/>
    </row>
    <row r="19" ht="36" customHeight="1">
      <c r="A19" s="25" t="inlineStr">
        <is>
          <t>DEF-015</t>
        </is>
      </c>
      <c r="B19" s="26" t="inlineStr"/>
      <c r="C19" s="6" t="inlineStr"/>
      <c r="D19" s="26" t="inlineStr"/>
      <c r="E19" s="26" t="inlineStr">
        <is>
          <t>Medium</t>
        </is>
      </c>
      <c r="F19" s="26" t="inlineStr">
        <is>
          <t>P3 - Major</t>
        </is>
      </c>
      <c r="G19" s="6" t="inlineStr"/>
      <c r="H19" s="6" t="inlineStr"/>
      <c r="I19" s="6" t="inlineStr"/>
      <c r="J19" s="26" t="inlineStr"/>
      <c r="K19" s="26" t="inlineStr"/>
      <c r="L19" s="25" t="inlineStr">
        <is>
          <t>OPEN</t>
        </is>
      </c>
      <c r="M19" s="6" t="inlineStr"/>
      <c r="N19" s="26" t="inlineStr"/>
    </row>
    <row r="20" ht="36" customHeight="1">
      <c r="A20" s="30" t="inlineStr">
        <is>
          <t>DEF-016</t>
        </is>
      </c>
      <c r="B20" s="31" t="inlineStr"/>
      <c r="C20" s="51" t="inlineStr"/>
      <c r="D20" s="31" t="inlineStr"/>
      <c r="E20" s="31" t="inlineStr">
        <is>
          <t>Medium</t>
        </is>
      </c>
      <c r="F20" s="31" t="inlineStr">
        <is>
          <t>P3 - Major</t>
        </is>
      </c>
      <c r="G20" s="51" t="inlineStr"/>
      <c r="H20" s="51" t="inlineStr"/>
      <c r="I20" s="51" t="inlineStr"/>
      <c r="J20" s="31" t="inlineStr"/>
      <c r="K20" s="31" t="inlineStr"/>
      <c r="L20" s="30" t="inlineStr">
        <is>
          <t>OPEN</t>
        </is>
      </c>
      <c r="M20" s="51" t="inlineStr"/>
      <c r="N20" s="31" t="inlineStr"/>
    </row>
    <row r="21" ht="36" customHeight="1">
      <c r="A21" s="25" t="inlineStr">
        <is>
          <t>DEF-017</t>
        </is>
      </c>
      <c r="B21" s="26" t="inlineStr"/>
      <c r="C21" s="6" t="inlineStr"/>
      <c r="D21" s="26" t="inlineStr"/>
      <c r="E21" s="26" t="inlineStr">
        <is>
          <t>Medium</t>
        </is>
      </c>
      <c r="F21" s="26" t="inlineStr">
        <is>
          <t>P3 - Major</t>
        </is>
      </c>
      <c r="G21" s="6" t="inlineStr"/>
      <c r="H21" s="6" t="inlineStr"/>
      <c r="I21" s="6" t="inlineStr"/>
      <c r="J21" s="26" t="inlineStr"/>
      <c r="K21" s="26" t="inlineStr"/>
      <c r="L21" s="25" t="inlineStr">
        <is>
          <t>OPEN</t>
        </is>
      </c>
      <c r="M21" s="6" t="inlineStr"/>
      <c r="N21" s="26" t="inlineStr"/>
    </row>
    <row r="22" ht="36" customHeight="1">
      <c r="A22" s="30" t="inlineStr">
        <is>
          <t>DEF-018</t>
        </is>
      </c>
      <c r="B22" s="31" t="inlineStr"/>
      <c r="C22" s="51" t="inlineStr"/>
      <c r="D22" s="31" t="inlineStr"/>
      <c r="E22" s="31" t="inlineStr">
        <is>
          <t>Medium</t>
        </is>
      </c>
      <c r="F22" s="31" t="inlineStr">
        <is>
          <t>P3 - Major</t>
        </is>
      </c>
      <c r="G22" s="51" t="inlineStr"/>
      <c r="H22" s="51" t="inlineStr"/>
      <c r="I22" s="51" t="inlineStr"/>
      <c r="J22" s="31" t="inlineStr"/>
      <c r="K22" s="31" t="inlineStr"/>
      <c r="L22" s="30" t="inlineStr">
        <is>
          <t>OPEN</t>
        </is>
      </c>
      <c r="M22" s="51" t="inlineStr"/>
      <c r="N22" s="31" t="inlineStr"/>
    </row>
    <row r="23" ht="36" customHeight="1">
      <c r="A23" s="25" t="inlineStr">
        <is>
          <t>DEF-019</t>
        </is>
      </c>
      <c r="B23" s="26" t="inlineStr"/>
      <c r="C23" s="6" t="inlineStr"/>
      <c r="D23" s="26" t="inlineStr"/>
      <c r="E23" s="26" t="inlineStr">
        <is>
          <t>Medium</t>
        </is>
      </c>
      <c r="F23" s="26" t="inlineStr">
        <is>
          <t>P3 - Major</t>
        </is>
      </c>
      <c r="G23" s="6" t="inlineStr"/>
      <c r="H23" s="6" t="inlineStr"/>
      <c r="I23" s="6" t="inlineStr"/>
      <c r="J23" s="26" t="inlineStr"/>
      <c r="K23" s="26" t="inlineStr"/>
      <c r="L23" s="25" t="inlineStr">
        <is>
          <t>OPEN</t>
        </is>
      </c>
      <c r="M23" s="6" t="inlineStr"/>
      <c r="N23" s="26" t="inlineStr"/>
    </row>
    <row r="24" ht="36" customHeight="1">
      <c r="A24" s="30" t="inlineStr">
        <is>
          <t>DEF-020</t>
        </is>
      </c>
      <c r="B24" s="31" t="inlineStr"/>
      <c r="C24" s="51" t="inlineStr"/>
      <c r="D24" s="31" t="inlineStr"/>
      <c r="E24" s="31" t="inlineStr">
        <is>
          <t>Medium</t>
        </is>
      </c>
      <c r="F24" s="31" t="inlineStr">
        <is>
          <t>P3 - Major</t>
        </is>
      </c>
      <c r="G24" s="51" t="inlineStr"/>
      <c r="H24" s="51" t="inlineStr"/>
      <c r="I24" s="51" t="inlineStr"/>
      <c r="J24" s="31" t="inlineStr"/>
      <c r="K24" s="31" t="inlineStr"/>
      <c r="L24" s="30" t="inlineStr">
        <is>
          <t>OPEN</t>
        </is>
      </c>
      <c r="M24" s="51" t="inlineStr"/>
      <c r="N24" s="31" t="inlineStr"/>
    </row>
    <row r="25" ht="36" customHeight="1">
      <c r="A25" s="25" t="inlineStr">
        <is>
          <t>DEF-021</t>
        </is>
      </c>
      <c r="B25" s="26" t="inlineStr"/>
      <c r="C25" s="6" t="inlineStr"/>
      <c r="D25" s="26" t="inlineStr"/>
      <c r="E25" s="26" t="inlineStr">
        <is>
          <t>Medium</t>
        </is>
      </c>
      <c r="F25" s="26" t="inlineStr">
        <is>
          <t>P3 - Major</t>
        </is>
      </c>
      <c r="G25" s="6" t="inlineStr"/>
      <c r="H25" s="6" t="inlineStr"/>
      <c r="I25" s="6" t="inlineStr"/>
      <c r="J25" s="26" t="inlineStr"/>
      <c r="K25" s="26" t="inlineStr"/>
      <c r="L25" s="25" t="inlineStr">
        <is>
          <t>OPEN</t>
        </is>
      </c>
      <c r="M25" s="6" t="inlineStr"/>
      <c r="N25" s="26" t="inlineStr"/>
    </row>
    <row r="26" ht="36" customHeight="1">
      <c r="A26" s="30" t="inlineStr">
        <is>
          <t>DEF-022</t>
        </is>
      </c>
      <c r="B26" s="31" t="inlineStr"/>
      <c r="C26" s="51" t="inlineStr"/>
      <c r="D26" s="31" t="inlineStr"/>
      <c r="E26" s="31" t="inlineStr">
        <is>
          <t>Medium</t>
        </is>
      </c>
      <c r="F26" s="31" t="inlineStr">
        <is>
          <t>P3 - Major</t>
        </is>
      </c>
      <c r="G26" s="51" t="inlineStr"/>
      <c r="H26" s="51" t="inlineStr"/>
      <c r="I26" s="51" t="inlineStr"/>
      <c r="J26" s="31" t="inlineStr"/>
      <c r="K26" s="31" t="inlineStr"/>
      <c r="L26" s="30" t="inlineStr">
        <is>
          <t>OPEN</t>
        </is>
      </c>
      <c r="M26" s="51" t="inlineStr"/>
      <c r="N26" s="31" t="inlineStr"/>
    </row>
    <row r="27" ht="36" customHeight="1">
      <c r="A27" s="25" t="inlineStr">
        <is>
          <t>DEF-023</t>
        </is>
      </c>
      <c r="B27" s="26" t="inlineStr"/>
      <c r="C27" s="6" t="inlineStr"/>
      <c r="D27" s="26" t="inlineStr"/>
      <c r="E27" s="26" t="inlineStr">
        <is>
          <t>Medium</t>
        </is>
      </c>
      <c r="F27" s="26" t="inlineStr">
        <is>
          <t>P3 - Major</t>
        </is>
      </c>
      <c r="G27" s="6" t="inlineStr"/>
      <c r="H27" s="6" t="inlineStr"/>
      <c r="I27" s="6" t="inlineStr"/>
      <c r="J27" s="26" t="inlineStr"/>
      <c r="K27" s="26" t="inlineStr"/>
      <c r="L27" s="25" t="inlineStr">
        <is>
          <t>OPEN</t>
        </is>
      </c>
      <c r="M27" s="6" t="inlineStr"/>
      <c r="N27" s="26" t="inlineStr"/>
    </row>
    <row r="28" ht="36" customHeight="1">
      <c r="A28" s="30" t="inlineStr">
        <is>
          <t>DEF-024</t>
        </is>
      </c>
      <c r="B28" s="31" t="inlineStr"/>
      <c r="C28" s="51" t="inlineStr"/>
      <c r="D28" s="31" t="inlineStr"/>
      <c r="E28" s="31" t="inlineStr">
        <is>
          <t>Medium</t>
        </is>
      </c>
      <c r="F28" s="31" t="inlineStr">
        <is>
          <t>P3 - Major</t>
        </is>
      </c>
      <c r="G28" s="51" t="inlineStr"/>
      <c r="H28" s="51" t="inlineStr"/>
      <c r="I28" s="51" t="inlineStr"/>
      <c r="J28" s="31" t="inlineStr"/>
      <c r="K28" s="31" t="inlineStr"/>
      <c r="L28" s="30" t="inlineStr">
        <is>
          <t>OPEN</t>
        </is>
      </c>
      <c r="M28" s="51" t="inlineStr"/>
      <c r="N28" s="31" t="inlineStr"/>
    </row>
    <row r="29" ht="36" customHeight="1">
      <c r="A29" s="25" t="inlineStr">
        <is>
          <t>DEF-025</t>
        </is>
      </c>
      <c r="B29" s="26" t="inlineStr"/>
      <c r="C29" s="6" t="inlineStr"/>
      <c r="D29" s="26" t="inlineStr"/>
      <c r="E29" s="26" t="inlineStr">
        <is>
          <t>Medium</t>
        </is>
      </c>
      <c r="F29" s="26" t="inlineStr">
        <is>
          <t>P3 - Major</t>
        </is>
      </c>
      <c r="G29" s="6" t="inlineStr"/>
      <c r="H29" s="6" t="inlineStr"/>
      <c r="I29" s="6" t="inlineStr"/>
      <c r="J29" s="26" t="inlineStr"/>
      <c r="K29" s="26" t="inlineStr"/>
      <c r="L29" s="25" t="inlineStr">
        <is>
          <t>OPEN</t>
        </is>
      </c>
      <c r="M29" s="6" t="inlineStr"/>
      <c r="N29" s="26" t="inlineStr"/>
    </row>
    <row r="30" ht="36" customHeight="1">
      <c r="A30" s="30" t="inlineStr">
        <is>
          <t>DEF-026</t>
        </is>
      </c>
      <c r="B30" s="31" t="inlineStr"/>
      <c r="C30" s="51" t="inlineStr"/>
      <c r="D30" s="31" t="inlineStr"/>
      <c r="E30" s="31" t="inlineStr">
        <is>
          <t>Medium</t>
        </is>
      </c>
      <c r="F30" s="31" t="inlineStr">
        <is>
          <t>P3 - Major</t>
        </is>
      </c>
      <c r="G30" s="51" t="inlineStr"/>
      <c r="H30" s="51" t="inlineStr"/>
      <c r="I30" s="51" t="inlineStr"/>
      <c r="J30" s="31" t="inlineStr"/>
      <c r="K30" s="31" t="inlineStr"/>
      <c r="L30" s="30" t="inlineStr">
        <is>
          <t>OPEN</t>
        </is>
      </c>
      <c r="M30" s="51" t="inlineStr"/>
      <c r="N30" s="31" t="inlineStr"/>
    </row>
    <row r="31" ht="36" customHeight="1">
      <c r="A31" s="25" t="inlineStr">
        <is>
          <t>DEF-027</t>
        </is>
      </c>
      <c r="B31" s="26" t="inlineStr"/>
      <c r="C31" s="6" t="inlineStr"/>
      <c r="D31" s="26" t="inlineStr"/>
      <c r="E31" s="26" t="inlineStr">
        <is>
          <t>Medium</t>
        </is>
      </c>
      <c r="F31" s="26" t="inlineStr">
        <is>
          <t>P3 - Major</t>
        </is>
      </c>
      <c r="G31" s="6" t="inlineStr"/>
      <c r="H31" s="6" t="inlineStr"/>
      <c r="I31" s="6" t="inlineStr"/>
      <c r="J31" s="26" t="inlineStr"/>
      <c r="K31" s="26" t="inlineStr"/>
      <c r="L31" s="25" t="inlineStr">
        <is>
          <t>OPEN</t>
        </is>
      </c>
      <c r="M31" s="6" t="inlineStr"/>
      <c r="N31" s="26" t="inlineStr"/>
    </row>
    <row r="32" ht="36" customHeight="1">
      <c r="A32" s="30" t="inlineStr">
        <is>
          <t>DEF-028</t>
        </is>
      </c>
      <c r="B32" s="31" t="inlineStr"/>
      <c r="C32" s="51" t="inlineStr"/>
      <c r="D32" s="31" t="inlineStr"/>
      <c r="E32" s="31" t="inlineStr">
        <is>
          <t>Medium</t>
        </is>
      </c>
      <c r="F32" s="31" t="inlineStr">
        <is>
          <t>P3 - Major</t>
        </is>
      </c>
      <c r="G32" s="51" t="inlineStr"/>
      <c r="H32" s="51" t="inlineStr"/>
      <c r="I32" s="51" t="inlineStr"/>
      <c r="J32" s="31" t="inlineStr"/>
      <c r="K32" s="31" t="inlineStr"/>
      <c r="L32" s="30" t="inlineStr">
        <is>
          <t>OPEN</t>
        </is>
      </c>
      <c r="M32" s="51" t="inlineStr"/>
      <c r="N32" s="31" t="inlineStr"/>
    </row>
    <row r="33" ht="36" customHeight="1">
      <c r="A33" s="25" t="inlineStr">
        <is>
          <t>DEF-029</t>
        </is>
      </c>
      <c r="B33" s="26" t="inlineStr"/>
      <c r="C33" s="6" t="inlineStr"/>
      <c r="D33" s="26" t="inlineStr"/>
      <c r="E33" s="26" t="inlineStr">
        <is>
          <t>Medium</t>
        </is>
      </c>
      <c r="F33" s="26" t="inlineStr">
        <is>
          <t>P3 - Major</t>
        </is>
      </c>
      <c r="G33" s="6" t="inlineStr"/>
      <c r="H33" s="6" t="inlineStr"/>
      <c r="I33" s="6" t="inlineStr"/>
      <c r="J33" s="26" t="inlineStr"/>
      <c r="K33" s="26" t="inlineStr"/>
      <c r="L33" s="25" t="inlineStr">
        <is>
          <t>OPEN</t>
        </is>
      </c>
      <c r="M33" s="6" t="inlineStr"/>
      <c r="N33" s="26" t="inlineStr"/>
    </row>
    <row r="34" ht="36" customHeight="1">
      <c r="A34" s="30" t="inlineStr">
        <is>
          <t>DEF-030</t>
        </is>
      </c>
      <c r="B34" s="31" t="inlineStr"/>
      <c r="C34" s="51" t="inlineStr"/>
      <c r="D34" s="31" t="inlineStr"/>
      <c r="E34" s="31" t="inlineStr">
        <is>
          <t>Medium</t>
        </is>
      </c>
      <c r="F34" s="31" t="inlineStr">
        <is>
          <t>P3 - Major</t>
        </is>
      </c>
      <c r="G34" s="51" t="inlineStr"/>
      <c r="H34" s="51" t="inlineStr"/>
      <c r="I34" s="51" t="inlineStr"/>
      <c r="J34" s="31" t="inlineStr"/>
      <c r="K34" s="31" t="inlineStr"/>
      <c r="L34" s="30" t="inlineStr">
        <is>
          <t>OPEN</t>
        </is>
      </c>
      <c r="M34" s="51" t="inlineStr"/>
      <c r="N34" s="31" t="inlineStr"/>
    </row>
  </sheetData>
  <autoFilter ref="A4:N35"/>
  <mergeCells count="2">
    <mergeCell ref="A2:N2"/>
    <mergeCell ref="A1:N1"/>
  </mergeCells>
  <conditionalFormatting sqref="L5:L35">
    <cfRule type="cellIs" priority="1" operator="equal" dxfId="7">
      <formula>"OPEN"</formula>
    </cfRule>
    <cfRule type="cellIs" priority="2" operator="equal" dxfId="8">
      <formula>"CLOSED"</formula>
    </cfRule>
  </conditionalFormatting>
  <dataValidations count="3">
    <dataValidation sqref="E5:E35" showDropDown="0" showInputMessage="0" showErrorMessage="0" allowBlank="0" type="list">
      <formula1>"Critical,High,Medium,Low"</formula1>
    </dataValidation>
    <dataValidation sqref="F5:F35" showDropDown="0" showInputMessage="0" showErrorMessage="0" allowBlank="0" type="list">
      <formula1>"P1 - Blocker,P2 - Critical,P3 - Major,P4 - Minor"</formula1>
    </dataValidation>
    <dataValidation sqref="L5:L35" showDropDown="0" showInputMessage="0" showErrorMessage="0" allowBlank="0" type="list">
      <formula1>"OPEN,IN PROGRESS,RESOLVED,VERIFIED,CLOSED"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2026-10-23T09:22:13Z</dcterms:created>
  <dcterms:modified xmlns:dcterms="http://purl.org/dc/terms/" xmlns:xsi="http://www.w3.org/2001/XMLSchema-instance" xsi:type="dcterms:W3CDTF">2026-10-23T09:22:13Z</dcterms:modified>
</cp:coreProperties>
</file>